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ti\Desktop\"/>
    </mc:Choice>
  </mc:AlternateContent>
  <xr:revisionPtr revIDLastSave="0" documentId="13_ncr:1_{21828466-18DE-4B96-8D72-86970D2D5870}" xr6:coauthVersionLast="47" xr6:coauthVersionMax="47" xr10:uidLastSave="{00000000-0000-0000-0000-000000000000}"/>
  <bookViews>
    <workbookView xWindow="-108" yWindow="-108" windowWidth="23256" windowHeight="12456" activeTab="1" xr2:uid="{FAF468FF-C424-4F69-90C2-9B19970E4E96}"/>
  </bookViews>
  <sheets>
    <sheet name="Project Management Data" sheetId="2" r:id="rId1"/>
    <sheet name="Call Center Data" sheetId="3" r:id="rId2"/>
    <sheet name="Sheet1" sheetId="1" r:id="rId3"/>
  </sheets>
  <definedNames>
    <definedName name="ExternalData_1" localSheetId="1" hidden="1">'Call Center Data'!$A$1:$W$75</definedName>
    <definedName name="ExternalData_1" localSheetId="0" hidden="1">'Project Management Data'!$A$1:$G$51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3" l="1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U2" i="3"/>
  <c r="U75" i="3"/>
  <c r="M82" i="3"/>
  <c r="M84" i="3" s="1"/>
  <c r="Q4" i="3"/>
  <c r="R4" i="3" s="1"/>
  <c r="Q5" i="3"/>
  <c r="R5" i="3" s="1"/>
  <c r="Q6" i="3"/>
  <c r="R6" i="3" s="1"/>
  <c r="Q7" i="3"/>
  <c r="R7" i="3" s="1"/>
  <c r="S7" i="3" s="1"/>
  <c r="Q8" i="3"/>
  <c r="R8" i="3" s="1"/>
  <c r="Q9" i="3"/>
  <c r="R9" i="3" s="1"/>
  <c r="Q10" i="3"/>
  <c r="U9" i="3" s="1"/>
  <c r="Q11" i="3"/>
  <c r="R11" i="3" s="1"/>
  <c r="Q12" i="3"/>
  <c r="R12" i="3" s="1"/>
  <c r="Q13" i="3"/>
  <c r="R13" i="3" s="1"/>
  <c r="Q14" i="3"/>
  <c r="R14" i="3" s="1"/>
  <c r="Q15" i="3"/>
  <c r="R15" i="3" s="1"/>
  <c r="S15" i="3" s="1"/>
  <c r="Q16" i="3"/>
  <c r="U15" i="3" s="1"/>
  <c r="Q17" i="3"/>
  <c r="U16" i="3" s="1"/>
  <c r="Q18" i="3"/>
  <c r="R18" i="3" s="1"/>
  <c r="Q19" i="3"/>
  <c r="R19" i="3" s="1"/>
  <c r="Q20" i="3"/>
  <c r="R20" i="3" s="1"/>
  <c r="Q21" i="3"/>
  <c r="R21" i="3" s="1"/>
  <c r="Q22" i="3"/>
  <c r="R22" i="3" s="1"/>
  <c r="Q23" i="3"/>
  <c r="R23" i="3" s="1"/>
  <c r="S23" i="3" s="1"/>
  <c r="Q24" i="3"/>
  <c r="R24" i="3" s="1"/>
  <c r="S24" i="3" s="1"/>
  <c r="Q25" i="3"/>
  <c r="U24" i="3" s="1"/>
  <c r="Q26" i="3"/>
  <c r="U25" i="3" s="1"/>
  <c r="Q27" i="3"/>
  <c r="R27" i="3" s="1"/>
  <c r="Q28" i="3"/>
  <c r="R28" i="3" s="1"/>
  <c r="Q29" i="3"/>
  <c r="R29" i="3" s="1"/>
  <c r="Q30" i="3"/>
  <c r="R30" i="3" s="1"/>
  <c r="Q31" i="3"/>
  <c r="R31" i="3" s="1"/>
  <c r="S31" i="3" s="1"/>
  <c r="Q32" i="3"/>
  <c r="U31" i="3" s="1"/>
  <c r="Q33" i="3"/>
  <c r="U32" i="3" s="1"/>
  <c r="Q34" i="3"/>
  <c r="R34" i="3" s="1"/>
  <c r="Q35" i="3"/>
  <c r="R35" i="3" s="1"/>
  <c r="Q36" i="3"/>
  <c r="R36" i="3" s="1"/>
  <c r="Q37" i="3"/>
  <c r="R37" i="3" s="1"/>
  <c r="Q38" i="3"/>
  <c r="R38" i="3" s="1"/>
  <c r="Q39" i="3"/>
  <c r="R39" i="3" s="1"/>
  <c r="S39" i="3" s="1"/>
  <c r="Q40" i="3"/>
  <c r="R40" i="3" s="1"/>
  <c r="S40" i="3" s="1"/>
  <c r="Q41" i="3"/>
  <c r="U40" i="3" s="1"/>
  <c r="Q42" i="3"/>
  <c r="U41" i="3" s="1"/>
  <c r="Q43" i="3"/>
  <c r="R43" i="3" s="1"/>
  <c r="Q44" i="3"/>
  <c r="R44" i="3" s="1"/>
  <c r="Q45" i="3"/>
  <c r="R45" i="3" s="1"/>
  <c r="Q46" i="3"/>
  <c r="R46" i="3" s="1"/>
  <c r="Q47" i="3"/>
  <c r="R47" i="3" s="1"/>
  <c r="S47" i="3" s="1"/>
  <c r="Q48" i="3"/>
  <c r="R48" i="3" s="1"/>
  <c r="S48" i="3" s="1"/>
  <c r="Q49" i="3"/>
  <c r="U48" i="3" s="1"/>
  <c r="Q50" i="3"/>
  <c r="R50" i="3" s="1"/>
  <c r="Q51" i="3"/>
  <c r="R51" i="3" s="1"/>
  <c r="Q52" i="3"/>
  <c r="R52" i="3" s="1"/>
  <c r="Q53" i="3"/>
  <c r="R53" i="3" s="1"/>
  <c r="Q54" i="3"/>
  <c r="R54" i="3" s="1"/>
  <c r="Q55" i="3"/>
  <c r="R55" i="3" s="1"/>
  <c r="S55" i="3" s="1"/>
  <c r="Q56" i="3"/>
  <c r="R56" i="3" s="1"/>
  <c r="S56" i="3" s="1"/>
  <c r="Q57" i="3"/>
  <c r="U56" i="3" s="1"/>
  <c r="Q58" i="3"/>
  <c r="U57" i="3" s="1"/>
  <c r="Q59" i="3"/>
  <c r="R59" i="3" s="1"/>
  <c r="Q60" i="3"/>
  <c r="R60" i="3" s="1"/>
  <c r="Q61" i="3"/>
  <c r="R61" i="3" s="1"/>
  <c r="Q62" i="3"/>
  <c r="R62" i="3" s="1"/>
  <c r="Q63" i="3"/>
  <c r="R63" i="3" s="1"/>
  <c r="S63" i="3" s="1"/>
  <c r="Q64" i="3"/>
  <c r="R64" i="3" s="1"/>
  <c r="S64" i="3" s="1"/>
  <c r="Q65" i="3"/>
  <c r="R65" i="3" s="1"/>
  <c r="Q66" i="3"/>
  <c r="R66" i="3" s="1"/>
  <c r="Q67" i="3"/>
  <c r="R67" i="3" s="1"/>
  <c r="Q68" i="3"/>
  <c r="R68" i="3" s="1"/>
  <c r="Q69" i="3"/>
  <c r="R69" i="3" s="1"/>
  <c r="Q70" i="3"/>
  <c r="R70" i="3" s="1"/>
  <c r="Q71" i="3"/>
  <c r="R71" i="3" s="1"/>
  <c r="S71" i="3" s="1"/>
  <c r="Q72" i="3"/>
  <c r="R72" i="3" s="1"/>
  <c r="S72" i="3" s="1"/>
  <c r="Q73" i="3"/>
  <c r="U72" i="3" s="1"/>
  <c r="Q74" i="3"/>
  <c r="U73" i="3" s="1"/>
  <c r="Q75" i="3"/>
  <c r="R75" i="3" s="1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B83" i="3"/>
  <c r="B77" i="3"/>
  <c r="B78" i="3"/>
  <c r="B79" i="3"/>
  <c r="B80" i="3"/>
  <c r="B81" i="3"/>
  <c r="B82" i="3"/>
  <c r="B76" i="3"/>
  <c r="R33" i="3" l="1"/>
  <c r="S38" i="3"/>
  <c r="U74" i="3"/>
  <c r="U66" i="3"/>
  <c r="U58" i="3"/>
  <c r="U50" i="3"/>
  <c r="U42" i="3"/>
  <c r="U34" i="3"/>
  <c r="U26" i="3"/>
  <c r="U18" i="3"/>
  <c r="U10" i="3"/>
  <c r="R32" i="3"/>
  <c r="S32" i="3" s="1"/>
  <c r="S30" i="3"/>
  <c r="U65" i="3"/>
  <c r="U49" i="3"/>
  <c r="U33" i="3"/>
  <c r="U17" i="3"/>
  <c r="U5" i="3"/>
  <c r="R17" i="3"/>
  <c r="S22" i="3"/>
  <c r="U64" i="3"/>
  <c r="R16" i="3"/>
  <c r="S16" i="3" s="1"/>
  <c r="S14" i="3"/>
  <c r="U71" i="3"/>
  <c r="U63" i="3"/>
  <c r="U55" i="3"/>
  <c r="U47" i="3"/>
  <c r="U39" i="3"/>
  <c r="U23" i="3"/>
  <c r="U4" i="3"/>
  <c r="S70" i="3"/>
  <c r="S8" i="3"/>
  <c r="U70" i="3"/>
  <c r="U62" i="3"/>
  <c r="U54" i="3"/>
  <c r="U46" i="3"/>
  <c r="U38" i="3"/>
  <c r="U30" i="3"/>
  <c r="U22" i="3"/>
  <c r="U14" i="3"/>
  <c r="S62" i="3"/>
  <c r="S6" i="3"/>
  <c r="U69" i="3"/>
  <c r="U61" i="3"/>
  <c r="U53" i="3"/>
  <c r="U45" i="3"/>
  <c r="U37" i="3"/>
  <c r="U29" i="3"/>
  <c r="U21" i="3"/>
  <c r="U13" i="3"/>
  <c r="U8" i="3"/>
  <c r="S65" i="3"/>
  <c r="S33" i="3"/>
  <c r="S17" i="3"/>
  <c r="R49" i="3"/>
  <c r="S49" i="3" s="1"/>
  <c r="S54" i="3"/>
  <c r="U68" i="3"/>
  <c r="U60" i="3"/>
  <c r="U52" i="3"/>
  <c r="U44" i="3"/>
  <c r="U36" i="3"/>
  <c r="U28" i="3"/>
  <c r="U20" i="3"/>
  <c r="U12" i="3"/>
  <c r="U7" i="3"/>
  <c r="S46" i="3"/>
  <c r="U67" i="3"/>
  <c r="U59" i="3"/>
  <c r="U51" i="3"/>
  <c r="U43" i="3"/>
  <c r="U35" i="3"/>
  <c r="U27" i="3"/>
  <c r="U19" i="3"/>
  <c r="U11" i="3"/>
  <c r="U6" i="3"/>
  <c r="S41" i="3"/>
  <c r="S25" i="3"/>
  <c r="S69" i="3"/>
  <c r="S61" i="3"/>
  <c r="S53" i="3"/>
  <c r="S45" i="3"/>
  <c r="S37" i="3"/>
  <c r="S29" i="3"/>
  <c r="S21" i="3"/>
  <c r="S13" i="3"/>
  <c r="S5" i="3"/>
  <c r="S4" i="3"/>
  <c r="R74" i="3"/>
  <c r="S74" i="3" s="1"/>
  <c r="R58" i="3"/>
  <c r="S58" i="3" s="1"/>
  <c r="R42" i="3"/>
  <c r="S42" i="3" s="1"/>
  <c r="R26" i="3"/>
  <c r="S26" i="3" s="1"/>
  <c r="R10" i="3"/>
  <c r="S10" i="3" s="1"/>
  <c r="S68" i="3"/>
  <c r="S60" i="3"/>
  <c r="S52" i="3"/>
  <c r="S44" i="3"/>
  <c r="S36" i="3"/>
  <c r="S28" i="3"/>
  <c r="S20" i="3"/>
  <c r="S12" i="3"/>
  <c r="R73" i="3"/>
  <c r="S73" i="3" s="1"/>
  <c r="R57" i="3"/>
  <c r="S57" i="3" s="1"/>
  <c r="R41" i="3"/>
  <c r="R25" i="3"/>
  <c r="S75" i="3"/>
  <c r="S67" i="3"/>
  <c r="S59" i="3"/>
  <c r="S51" i="3"/>
  <c r="S43" i="3"/>
  <c r="S35" i="3"/>
  <c r="S27" i="3"/>
  <c r="S19" i="3"/>
  <c r="S11" i="3"/>
  <c r="S66" i="3"/>
  <c r="S50" i="3"/>
  <c r="S34" i="3"/>
  <c r="S18" i="3"/>
  <c r="S9" i="3"/>
  <c r="M83" i="3" a="1"/>
  <c r="M83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791D54-2974-4BF6-A078-7D03F4A4890C}" keepAlive="1" name="Query - Call Center Data" description="Connection to the 'Call Center Data' query in the workbook." type="5" refreshedVersion="8" background="1" saveData="1">
    <dbPr connection="Provider=Microsoft.Mashup.OleDb.1;Data Source=$Workbook$;Location=&quot;Call Center Data&quot;;Extended Properties=&quot;&quot;" command="SELECT * FROM [Call Center Data]"/>
  </connection>
  <connection id="2" xr16:uid="{6F845187-1F41-49B6-8AE1-8CEA2C15F593}" keepAlive="1" name="Query - Project Management Data" description="Connection to the 'Project Management Data' query in the workbook." type="5" refreshedVersion="8" background="1" saveData="1">
    <dbPr connection="Provider=Microsoft.Mashup.OleDb.1;Data Source=$Workbook$;Location=&quot;Project Management Data&quot;;Extended Properties=&quot;&quot;" command="SELECT * FROM [Project Management 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<sst xmlns="http://schemas.openxmlformats.org/spreadsheetml/2006/main" count="425" uniqueCount="254">
  <si>
    <t>Excel Sample Data</t>
  </si>
  <si>
    <t>Column2</t>
  </si>
  <si>
    <t>Column3</t>
  </si>
  <si>
    <t>Column4</t>
  </si>
  <si>
    <t>Column5</t>
  </si>
  <si>
    <t>Column6</t>
  </si>
  <si>
    <t>Column7</t>
  </si>
  <si>
    <t>Project Management Data</t>
  </si>
  <si>
    <t>Project Name</t>
  </si>
  <si>
    <t>Task Name</t>
  </si>
  <si>
    <t>Assigned to</t>
  </si>
  <si>
    <t>Start Date</t>
  </si>
  <si>
    <t>Days Required</t>
  </si>
  <si>
    <t>End Date</t>
  </si>
  <si>
    <t>Progress</t>
  </si>
  <si>
    <t>Marketing</t>
  </si>
  <si>
    <t>Market Research</t>
  </si>
  <si>
    <t>Alice</t>
  </si>
  <si>
    <t>Content Creation</t>
  </si>
  <si>
    <t>Bob</t>
  </si>
  <si>
    <t>Social Media Planning</t>
  </si>
  <si>
    <t>Charlie</t>
  </si>
  <si>
    <t>Campaign Analysis</t>
  </si>
  <si>
    <t>Daisy</t>
  </si>
  <si>
    <t>Product Dev</t>
  </si>
  <si>
    <t>Prototype Development</t>
  </si>
  <si>
    <t>Ethan</t>
  </si>
  <si>
    <t>Quality Assurance</t>
  </si>
  <si>
    <t>Fiona</t>
  </si>
  <si>
    <t>User Interface Design</t>
  </si>
  <si>
    <t>Gabriel</t>
  </si>
  <si>
    <t>Customer Svc</t>
  </si>
  <si>
    <t>Service Improvement</t>
  </si>
  <si>
    <t>Hannah</t>
  </si>
  <si>
    <t>Ticket Resolution</t>
  </si>
  <si>
    <t>Ian</t>
  </si>
  <si>
    <t>Customer Feedback</t>
  </si>
  <si>
    <t>Julia</t>
  </si>
  <si>
    <t>Financial</t>
  </si>
  <si>
    <t>Budget Analysis</t>
  </si>
  <si>
    <t>Kevin</t>
  </si>
  <si>
    <t>Financial Reporting</t>
  </si>
  <si>
    <t>Mark</t>
  </si>
  <si>
    <t>Investment Planning</t>
  </si>
  <si>
    <t>Research</t>
  </si>
  <si>
    <t>Market Trends Analysis</t>
  </si>
  <si>
    <t>Nathan</t>
  </si>
  <si>
    <t>Data Collection</t>
  </si>
  <si>
    <t>Olivia</t>
  </si>
  <si>
    <t>Research Paper Writing</t>
  </si>
  <si>
    <t>Peter</t>
  </si>
  <si>
    <t>Development</t>
  </si>
  <si>
    <t>Software Development</t>
  </si>
  <si>
    <t>Quinn</t>
  </si>
  <si>
    <t>Feature Enhancement</t>
  </si>
  <si>
    <t>Rachel</t>
  </si>
  <si>
    <t>Code Review</t>
  </si>
  <si>
    <t>Sam</t>
  </si>
  <si>
    <t>Production</t>
  </si>
  <si>
    <t>Manufacturing</t>
  </si>
  <si>
    <t>Tim</t>
  </si>
  <si>
    <t>Quality Control</t>
  </si>
  <si>
    <t>Ursula</t>
  </si>
  <si>
    <t>Packaging Design</t>
  </si>
  <si>
    <t>Victor</t>
  </si>
  <si>
    <t>Sales</t>
  </si>
  <si>
    <t>Lead Generation</t>
  </si>
  <si>
    <t>Wendy</t>
  </si>
  <si>
    <t>Client Meetings</t>
  </si>
  <si>
    <t>Xavier</t>
  </si>
  <si>
    <t>Contract Negotiation</t>
  </si>
  <si>
    <t>Yvette</t>
  </si>
  <si>
    <t>Support</t>
  </si>
  <si>
    <t>Technical Support</t>
  </si>
  <si>
    <t>Zoe</t>
  </si>
  <si>
    <t>Bug Fixes</t>
  </si>
  <si>
    <t>Aaron</t>
  </si>
  <si>
    <t>Software Updates</t>
  </si>
  <si>
    <t>Bella</t>
  </si>
  <si>
    <t>Operations</t>
  </si>
  <si>
    <t>Process Optimization</t>
  </si>
  <si>
    <t>Calvin</t>
  </si>
  <si>
    <t>Inventory Management</t>
  </si>
  <si>
    <t>Diane</t>
  </si>
  <si>
    <t>Facility Maintenance</t>
  </si>
  <si>
    <t>Edward</t>
  </si>
  <si>
    <t>Consulting</t>
  </si>
  <si>
    <t>Strategic Planning</t>
  </si>
  <si>
    <t>Market Expansion</t>
  </si>
  <si>
    <t>Gary</t>
  </si>
  <si>
    <t>Client Advisory</t>
  </si>
  <si>
    <t>Helen</t>
  </si>
  <si>
    <t>Training</t>
  </si>
  <si>
    <t>Employee Training</t>
  </si>
  <si>
    <t>Isaac</t>
  </si>
  <si>
    <t>Certification Programs</t>
  </si>
  <si>
    <t>Jane</t>
  </si>
  <si>
    <t>Skill Development</t>
  </si>
  <si>
    <t>Kyle</t>
  </si>
  <si>
    <t>Events</t>
  </si>
  <si>
    <t>Event Planning</t>
  </si>
  <si>
    <t>Laura</t>
  </si>
  <si>
    <t>Conference Management</t>
  </si>
  <si>
    <t>Mike</t>
  </si>
  <si>
    <t>Sponsorship Coordinatio</t>
  </si>
  <si>
    <t>n Nancy</t>
  </si>
  <si>
    <t>Logistics</t>
  </si>
  <si>
    <t>Supply Chain Management</t>
  </si>
  <si>
    <t>Oscar</t>
  </si>
  <si>
    <t>Transportation Planning</t>
  </si>
  <si>
    <t>Patricia</t>
  </si>
  <si>
    <t>Inventory Optimization</t>
  </si>
  <si>
    <t>Quentin</t>
  </si>
  <si>
    <t>Engineering</t>
  </si>
  <si>
    <t>Product Design</t>
  </si>
  <si>
    <t>System Integration</t>
  </si>
  <si>
    <t>Prototype Testing</t>
  </si>
  <si>
    <t>Tom</t>
  </si>
  <si>
    <t>Column8</t>
  </si>
  <si>
    <t>Column9</t>
  </si>
  <si>
    <t>Column10</t>
  </si>
  <si>
    <t>Column11</t>
  </si>
  <si>
    <t>Column12</t>
  </si>
  <si>
    <t>Column13</t>
  </si>
  <si>
    <t>ID</t>
  </si>
  <si>
    <t>CSAT Score</t>
  </si>
  <si>
    <t>Call Timestamp</t>
  </si>
  <si>
    <t>Reason</t>
  </si>
  <si>
    <t>City</t>
  </si>
  <si>
    <t>State</t>
  </si>
  <si>
    <t>Channel</t>
  </si>
  <si>
    <t>Response Time</t>
  </si>
  <si>
    <t>Call Center</t>
  </si>
  <si>
    <t>Billing Question</t>
  </si>
  <si>
    <t>Charleston</t>
  </si>
  <si>
    <t>West Virginia</t>
  </si>
  <si>
    <t>Chatbot</t>
  </si>
  <si>
    <t>Within SLA</t>
  </si>
  <si>
    <t>Chicago/IL</t>
  </si>
  <si>
    <t>Honolulu</t>
  </si>
  <si>
    <t>Hawaii</t>
  </si>
  <si>
    <t>Call-Center</t>
  </si>
  <si>
    <t>Los Angeles/CA</t>
  </si>
  <si>
    <t>Dallas</t>
  </si>
  <si>
    <t>Texas</t>
  </si>
  <si>
    <t>Denver/CO</t>
  </si>
  <si>
    <t>Fort Myers</t>
  </si>
  <si>
    <t>Florida</t>
  </si>
  <si>
    <t>Email</t>
  </si>
  <si>
    <t>Below SLA</t>
  </si>
  <si>
    <t>Tuscaloosa</t>
  </si>
  <si>
    <t>Web</t>
  </si>
  <si>
    <t>Baltimore/MD</t>
  </si>
  <si>
    <t>Payments</t>
  </si>
  <si>
    <t>Little Rock</t>
  </si>
  <si>
    <t>Arkansas</t>
  </si>
  <si>
    <t>Nashville</t>
  </si>
  <si>
    <t>Tennessee</t>
  </si>
  <si>
    <t>Santa Ana</t>
  </si>
  <si>
    <t>California</t>
  </si>
  <si>
    <t>Above SLA</t>
  </si>
  <si>
    <t>Pittsburgh</t>
  </si>
  <si>
    <t>Pennsylvania</t>
  </si>
  <si>
    <t>Tucson</t>
  </si>
  <si>
    <t>Arizona</t>
  </si>
  <si>
    <t>Des Moines</t>
  </si>
  <si>
    <t>Iowa</t>
  </si>
  <si>
    <t>Early Andrassy</t>
  </si>
  <si>
    <t>Lansing</t>
  </si>
  <si>
    <t>Michigan</t>
  </si>
  <si>
    <t>Ettie Ruoff</t>
  </si>
  <si>
    <t>Washington</t>
  </si>
  <si>
    <t>District of Columbia</t>
  </si>
  <si>
    <t>New York City</t>
  </si>
  <si>
    <t>New York</t>
  </si>
  <si>
    <t>Madison</t>
  </si>
  <si>
    <t>Wisconsin</t>
  </si>
  <si>
    <t>Service Outage</t>
  </si>
  <si>
    <t>Abigale Morgan</t>
  </si>
  <si>
    <t>Minneapolis</t>
  </si>
  <si>
    <t>Minnesota</t>
  </si>
  <si>
    <t>Colorado Springs</t>
  </si>
  <si>
    <t>Colorado</t>
  </si>
  <si>
    <t>Shawnee Mission</t>
  </si>
  <si>
    <t>Kansas</t>
  </si>
  <si>
    <t>Charo Aisbett</t>
  </si>
  <si>
    <t>Salt Lake City</t>
  </si>
  <si>
    <t>Utah</t>
  </si>
  <si>
    <t>Providence</t>
  </si>
  <si>
    <t>Rhode Island</t>
  </si>
  <si>
    <t>Richmond</t>
  </si>
  <si>
    <t>Virginia</t>
  </si>
  <si>
    <t>Las Vegas</t>
  </si>
  <si>
    <t>Nevada</t>
  </si>
  <si>
    <t>Chicago</t>
  </si>
  <si>
    <t>Illinois</t>
  </si>
  <si>
    <t>Fort Wayne</t>
  </si>
  <si>
    <t>Indiana</t>
  </si>
  <si>
    <t>Kansas City</t>
  </si>
  <si>
    <t>Missouri</t>
  </si>
  <si>
    <t>Baton Rouge</t>
  </si>
  <si>
    <t>Louisiana</t>
  </si>
  <si>
    <t>Columbus</t>
  </si>
  <si>
    <t>Ohio</t>
  </si>
  <si>
    <t>Georgia</t>
  </si>
  <si>
    <t xml:space="preserve">    Bogey McReath</t>
  </si>
  <si>
    <t>Sephira Phil    ippart</t>
  </si>
  <si>
    <t xml:space="preserve">           Minette Muzzillo</t>
  </si>
  <si>
    <t xml:space="preserve">  Tricia Kinnie</t>
  </si>
  <si>
    <t>Exc</t>
  </si>
  <si>
    <t>e</t>
  </si>
  <si>
    <t>l Sample Data</t>
  </si>
  <si>
    <t>PIS</t>
  </si>
  <si>
    <t>-</t>
  </si>
  <si>
    <t>ROH</t>
  </si>
  <si>
    <t>NKC</t>
  </si>
  <si>
    <t>APY</t>
  </si>
  <si>
    <t>MHK</t>
  </si>
  <si>
    <t>QKL</t>
  </si>
  <si>
    <t>IJF</t>
  </si>
  <si>
    <t>ZKW</t>
  </si>
  <si>
    <t>BPQ</t>
  </si>
  <si>
    <t>ZMB</t>
  </si>
  <si>
    <t>YYO</t>
  </si>
  <si>
    <t>JYD</t>
  </si>
  <si>
    <t>VFG</t>
  </si>
  <si>
    <t>UCT</t>
  </si>
  <si>
    <t>YLF</t>
  </si>
  <si>
    <t>QCH</t>
  </si>
  <si>
    <t>EWI</t>
  </si>
  <si>
    <t>IYX</t>
  </si>
  <si>
    <t>DZU</t>
  </si>
  <si>
    <t>LZU</t>
  </si>
  <si>
    <t>TQC</t>
  </si>
  <si>
    <t>FGR</t>
  </si>
  <si>
    <t>TNK</t>
  </si>
  <si>
    <t>IZX</t>
  </si>
  <si>
    <t>TPZ</t>
  </si>
  <si>
    <t>JOT</t>
  </si>
  <si>
    <t>HMX</t>
  </si>
  <si>
    <t>YHK</t>
  </si>
  <si>
    <t>BGA</t>
  </si>
  <si>
    <t>lower</t>
  </si>
  <si>
    <t>concatenate</t>
  </si>
  <si>
    <t>Column84</t>
  </si>
  <si>
    <t>upper</t>
  </si>
  <si>
    <t>proper</t>
  </si>
  <si>
    <t>South carolina</t>
  </si>
  <si>
    <t>Alabama ghio</t>
  </si>
  <si>
    <t>if</t>
  </si>
  <si>
    <t>Column1</t>
  </si>
  <si>
    <t>and</t>
  </si>
  <si>
    <t>or</t>
  </si>
  <si>
    <t>sumif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</si>
</sst>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Border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4D3CE71-41AA-4867-9316-10721957DEC9}" autoFormatId="16" applyNumberFormats="0" applyBorderFormats="0" applyFontFormats="0" applyPatternFormats="0" applyAlignmentFormats="0" applyWidthHeightFormats="0">
  <queryTableRefresh nextId="8">
    <queryTableFields count="7">
      <queryTableField id="1" name="Excel Sample Data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6440A0-4123-423B-AE31-354493E7BE54}" autoFormatId="16" applyNumberFormats="0" applyBorderFormats="0" applyFontFormats="0" applyPatternFormats="0" applyAlignmentFormats="0" applyWidthHeightFormats="0">
  <queryTableRefresh nextId="26">
    <queryTableFields count="23">
      <queryTableField id="1" name="Excel Sample Data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19" dataBound="0" tableColumnId="20"/>
      <queryTableField id="18" dataBound="0" tableColumnId="19"/>
      <queryTableField id="17" dataBound="0" tableColumnId="18"/>
      <queryTableField id="16" dataBound="0" tableColumnId="17"/>
      <queryTableField id="14" dataBound="0" tableColumnId="14"/>
      <queryTableField id="9" name="Column9" tableColumnId="9"/>
      <queryTableField id="10" name="Column10" tableColumnId="10"/>
      <queryTableField id="11" name="Column11" tableColumnId="11"/>
      <queryTableField id="21" dataBound="0" tableColumnId="22"/>
      <queryTableField id="22" dataBound="0" tableColumnId="23"/>
      <queryTableField id="23" dataBound="0" tableColumnId="24"/>
      <queryTableField id="25" dataBound="0" tableColumnId="26"/>
      <queryTableField id="24" dataBound="0" tableColumnId="25"/>
      <queryTableField id="12" name="Column12" tableColumnId="12"/>
      <queryTableField id="13" name="Column13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90780F-C01F-49CC-A3E8-2BEBF0FCE5DC}" name="Project_Management_Data" displayName="Project_Management_Data" ref="A1:G51" tableType="queryTable" totalsRowShown="0">
  <autoFilter ref="A1:G51" xr:uid="{A090780F-C01F-49CC-A3E8-2BEBF0FCE5DC}"/>
  <tableColumns count="7">
    <tableColumn id="1" xr3:uid="{D92D022F-4E18-4E10-BE58-FF3EAB30E58E}" uniqueName="1" name="Excel Sample Data" queryTableFieldId="1" dataDxfId="22"/>
    <tableColumn id="2" xr3:uid="{B4A38034-B2CF-4A58-9F82-646A6441BA46}" uniqueName="2" name="Column2" queryTableFieldId="2" dataDxfId="21"/>
    <tableColumn id="3" xr3:uid="{B70253C3-AA4A-446D-AA26-8EEAC1E8E69D}" uniqueName="3" name="Column3" queryTableFieldId="3" dataDxfId="20"/>
    <tableColumn id="4" xr3:uid="{BCAE1CCB-8459-4D7A-B66D-1F424C8C818F}" uniqueName="4" name="Column4" queryTableFieldId="4"/>
    <tableColumn id="5" xr3:uid="{AE94696C-4C67-400C-B516-5DA9773BAD5C}" uniqueName="5" name="Column5" queryTableFieldId="5"/>
    <tableColumn id="6" xr3:uid="{7EB50D4D-F971-4E84-A767-FBE05F370DE2}" uniqueName="6" name="Column6" queryTableFieldId="6"/>
    <tableColumn id="7" xr3:uid="{8A2B4651-5A57-46A2-9E02-55AFE3D17200}" uniqueName="7" name="Column7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450B20-DBCC-41D0-A925-9BA42815457B}" name="Call_Center_Data" displayName="Call_Center_Data" ref="A1:W75" tableType="queryTable" totalsRowShown="0">
  <autoFilter ref="A1:W75" xr:uid="{2D450B20-DBCC-41D0-A925-9BA42815457B}"/>
  <tableColumns count="23">
    <tableColumn id="1" xr3:uid="{633B249F-54CA-4806-8437-5D216002E361}" uniqueName="1" name="Exc" queryTableFieldId="1" dataDxfId="19"/>
    <tableColumn id="2" xr3:uid="{BD954B2C-E3F4-40C1-9A9E-07D15BE5FEDE}" uniqueName="2" name="e" queryTableFieldId="2" dataDxfId="18"/>
    <tableColumn id="3" xr3:uid="{B845F876-3959-416C-AAC6-9E2C3D26C74D}" uniqueName="3" name="l Sample Data" queryTableFieldId="3" dataDxfId="17"/>
    <tableColumn id="4" xr3:uid="{624D9100-15CB-4BE2-89D9-B9886BF60285}" uniqueName="4" name="Column4" queryTableFieldId="4"/>
    <tableColumn id="5" xr3:uid="{DA7ECF08-D42F-4ED6-9578-4E2C99B6AFF5}" uniqueName="5" name="Column5" queryTableFieldId="5"/>
    <tableColumn id="6" xr3:uid="{E4C5258A-C187-454C-BD6B-C201B1AFA0DA}" uniqueName="6" name="Column6" queryTableFieldId="6" dataDxfId="16"/>
    <tableColumn id="7" xr3:uid="{83ADC6CB-6247-4ABC-BE8A-1AE55B5DA510}" uniqueName="7" name="Column7" queryTableFieldId="7" dataDxfId="15"/>
    <tableColumn id="8" xr3:uid="{9E1CD78A-1F7B-4DB9-B515-18B2F325BD65}" uniqueName="8" name="Column8" queryTableFieldId="8" dataDxfId="14"/>
    <tableColumn id="20" xr3:uid="{98519554-2A82-45D5-A9BB-C99892E2D0F2}" uniqueName="20" name="Column84" queryTableFieldId="19" dataDxfId="8"/>
    <tableColumn id="19" xr3:uid="{5F5819DD-7F24-4E33-BDA7-B79F2DFCEFE8}" uniqueName="19" name="proper" queryTableFieldId="18" dataDxfId="6">
      <calculatedColumnFormula>PROPER(H6)</calculatedColumnFormula>
    </tableColumn>
    <tableColumn id="18" xr3:uid="{0E4A1140-5B3F-4C07-B086-5322BCAB3A27}" uniqueName="18" name="upper" queryTableFieldId="17" dataDxfId="7">
      <calculatedColumnFormula>UPPER(H3)</calculatedColumnFormula>
    </tableColumn>
    <tableColumn id="17" xr3:uid="{7B55E620-FDF0-48F3-AEDB-24300EFFBD54}" uniqueName="17" name="lower" queryTableFieldId="16" dataDxfId="9">
      <calculatedColumnFormula>LOWER(Call_Center_Data[[#This Row],[Column8]])</calculatedColumnFormula>
    </tableColumn>
    <tableColumn id="14" xr3:uid="{415F3C8E-EF12-4305-9408-D9FE8341386F}" uniqueName="14" name="concatenate" queryTableFieldId="14" dataDxfId="10">
      <calculatedColumnFormula>CONCATENATE(G3," ",F3," ",H3)</calculatedColumnFormula>
    </tableColumn>
    <tableColumn id="9" xr3:uid="{A5C62873-CB2B-451F-99BD-FB38DEDA6F1A}" uniqueName="9" name="Column9" queryTableFieldId="9" dataDxfId="13"/>
    <tableColumn id="10" xr3:uid="{93DE4DCA-6049-4F8B-B77C-D7C971D4233C}" uniqueName="10" name="Column10" queryTableFieldId="10" dataDxfId="12"/>
    <tableColumn id="11" xr3:uid="{2AE81E52-0658-4D0E-82A6-FB2FC37733C5}" uniqueName="11" name="Column11" queryTableFieldId="11"/>
    <tableColumn id="22" xr3:uid="{03BAE7E7-7A8B-426F-AA6A-58C04F9307D3}" uniqueName="22" name="if" queryTableFieldId="21" dataDxfId="5">
      <calculatedColumnFormula>IF(Call_Center_Data[[#This Row],[Column11]]&gt;=20," great", " bad")</calculatedColumnFormula>
    </tableColumn>
    <tableColumn id="23" xr3:uid="{BFEBE59E-E880-43AD-9029-D539138AB55A}" uniqueName="23" name="and" queryTableFieldId="22" dataDxfId="4">
      <calculatedColumnFormula>IF(AND(Call_Center_Data[[#This Row],[Column11]]&gt;=30,Call_Center_Data[[#This Row],[if]]=" great"),"in","out")</calculatedColumnFormula>
    </tableColumn>
    <tableColumn id="24" xr3:uid="{DB9AA4F5-B8BE-4F58-BC12-2A8D33CCFEF2}" uniqueName="24" name="or" queryTableFieldId="23" dataDxfId="3">
      <calculatedColumnFormula>IF(OR(Call_Center_Data[[#This Row],[if]]="great",Call_Center_Data[[#This Row],[and]]="in"),"pass","fail")</calculatedColumnFormula>
    </tableColumn>
    <tableColumn id="26" xr3:uid="{B746CCBA-1696-46EC-9308-8121A687E1FD}" uniqueName="26" name="Column1" queryTableFieldId="25" dataDxfId="0">
      <calculatedColumnFormula>SUMIF(S:S,"pass",P:P)</calculatedColumnFormula>
    </tableColumn>
    <tableColumn id="25" xr3:uid="{BF5E4760-51CB-417B-B38B-205F30E83291}" uniqueName="25" name="sumif" queryTableFieldId="24" dataDxfId="2">
      <calculatedColumnFormula>SUMIF(Call_Center_Data[[#Headers],[Column11]],Q3="great")</calculatedColumnFormula>
    </tableColumn>
    <tableColumn id="12" xr3:uid="{9F208484-CE66-422C-9A41-C051C0C7F6C6}" uniqueName="12" name="Column12" queryTableFieldId="12" dataDxfId="11"/>
    <tableColumn id="13" xr3:uid="{9546D8DC-A087-48D2-A0A7-A375E9B10F1B}" uniqueName="13" name="Column13" queryTableFieldId="1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927F8-3EF7-4D42-BA9C-813560E280D2}">
  <dimension ref="A1:G51"/>
  <sheetViews>
    <sheetView workbookViewId="0">
      <selection activeCell="G6" sqref="G6"/>
    </sheetView>
  </sheetViews>
  <sheetFormatPr defaultRowHeight="14.4" x14ac:dyDescent="0.3"/>
  <cols>
    <col min="1" max="1" width="22.6640625" bestFit="1" customWidth="1"/>
    <col min="2" max="2" width="22.77734375" bestFit="1" customWidth="1"/>
    <col min="3" max="4" width="10.77734375" bestFit="1" customWidth="1"/>
    <col min="5" max="5" width="12.5546875" bestFit="1" customWidth="1"/>
    <col min="6" max="7" width="10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3" spans="1:7" x14ac:dyDescent="0.3">
      <c r="A3" t="s">
        <v>7</v>
      </c>
    </row>
    <row r="5" spans="1:7" x14ac:dyDescent="0.3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</row>
    <row r="6" spans="1:7" x14ac:dyDescent="0.3">
      <c r="A6" t="s">
        <v>15</v>
      </c>
      <c r="B6" t="s">
        <v>16</v>
      </c>
      <c r="C6" t="s">
        <v>17</v>
      </c>
      <c r="D6">
        <v>45292</v>
      </c>
      <c r="E6">
        <v>13</v>
      </c>
      <c r="F6">
        <v>45305</v>
      </c>
      <c r="G6">
        <v>0.78</v>
      </c>
    </row>
    <row r="7" spans="1:7" x14ac:dyDescent="0.3">
      <c r="A7" t="s">
        <v>15</v>
      </c>
      <c r="B7" t="s">
        <v>18</v>
      </c>
      <c r="C7" t="s">
        <v>19</v>
      </c>
      <c r="D7">
        <v>45305</v>
      </c>
      <c r="E7">
        <v>14</v>
      </c>
      <c r="F7">
        <v>45319</v>
      </c>
      <c r="G7">
        <v>1</v>
      </c>
    </row>
    <row r="8" spans="1:7" x14ac:dyDescent="0.3">
      <c r="A8" t="s">
        <v>15</v>
      </c>
      <c r="B8" t="s">
        <v>20</v>
      </c>
      <c r="C8" t="s">
        <v>21</v>
      </c>
      <c r="D8">
        <v>45319</v>
      </c>
      <c r="E8">
        <v>22</v>
      </c>
      <c r="F8">
        <v>45341</v>
      </c>
      <c r="G8">
        <v>0.45</v>
      </c>
    </row>
    <row r="9" spans="1:7" x14ac:dyDescent="0.3">
      <c r="A9" t="s">
        <v>15</v>
      </c>
      <c r="B9" t="s">
        <v>22</v>
      </c>
      <c r="C9" t="s">
        <v>23</v>
      </c>
      <c r="D9">
        <v>45340</v>
      </c>
      <c r="E9">
        <v>25</v>
      </c>
      <c r="F9">
        <v>45365</v>
      </c>
      <c r="G9">
        <v>0</v>
      </c>
    </row>
    <row r="10" spans="1:7" x14ac:dyDescent="0.3">
      <c r="A10" t="s">
        <v>24</v>
      </c>
      <c r="B10" t="s">
        <v>25</v>
      </c>
      <c r="C10" t="s">
        <v>26</v>
      </c>
      <c r="D10">
        <v>45293</v>
      </c>
      <c r="E10">
        <v>18</v>
      </c>
      <c r="F10">
        <v>45311</v>
      </c>
      <c r="G10">
        <v>1</v>
      </c>
    </row>
    <row r="11" spans="1:7" x14ac:dyDescent="0.3">
      <c r="A11" t="s">
        <v>24</v>
      </c>
      <c r="B11" t="s">
        <v>27</v>
      </c>
      <c r="C11" t="s">
        <v>28</v>
      </c>
      <c r="D11">
        <v>45311</v>
      </c>
      <c r="E11">
        <v>10</v>
      </c>
      <c r="F11">
        <v>45321</v>
      </c>
      <c r="G11">
        <v>0.78</v>
      </c>
    </row>
    <row r="12" spans="1:7" x14ac:dyDescent="0.3">
      <c r="A12" t="s">
        <v>24</v>
      </c>
      <c r="B12" t="s">
        <v>29</v>
      </c>
      <c r="C12" t="s">
        <v>30</v>
      </c>
      <c r="D12">
        <v>45326</v>
      </c>
      <c r="E12">
        <v>25</v>
      </c>
      <c r="F12">
        <v>45351</v>
      </c>
      <c r="G12">
        <v>0</v>
      </c>
    </row>
    <row r="13" spans="1:7" x14ac:dyDescent="0.3">
      <c r="A13" t="s">
        <v>31</v>
      </c>
      <c r="B13" t="s">
        <v>32</v>
      </c>
      <c r="C13" t="s">
        <v>33</v>
      </c>
      <c r="D13">
        <v>45323</v>
      </c>
      <c r="E13">
        <v>22</v>
      </c>
      <c r="F13">
        <v>45345</v>
      </c>
      <c r="G13">
        <v>1</v>
      </c>
    </row>
    <row r="14" spans="1:7" x14ac:dyDescent="0.3">
      <c r="A14" t="s">
        <v>31</v>
      </c>
      <c r="B14" t="s">
        <v>34</v>
      </c>
      <c r="C14" t="s">
        <v>35</v>
      </c>
      <c r="D14">
        <v>45346</v>
      </c>
      <c r="E14">
        <v>25</v>
      </c>
      <c r="F14">
        <v>45371</v>
      </c>
      <c r="G14">
        <v>1</v>
      </c>
    </row>
    <row r="15" spans="1:7" x14ac:dyDescent="0.3">
      <c r="A15" t="s">
        <v>31</v>
      </c>
      <c r="B15" t="s">
        <v>36</v>
      </c>
      <c r="C15" t="s">
        <v>37</v>
      </c>
      <c r="D15">
        <v>45372</v>
      </c>
      <c r="E15">
        <v>30</v>
      </c>
      <c r="F15">
        <v>45402</v>
      </c>
      <c r="G15">
        <v>0</v>
      </c>
    </row>
    <row r="16" spans="1:7" x14ac:dyDescent="0.3">
      <c r="A16" t="s">
        <v>38</v>
      </c>
      <c r="B16" t="s">
        <v>39</v>
      </c>
      <c r="C16" t="s">
        <v>40</v>
      </c>
      <c r="D16">
        <v>45324</v>
      </c>
      <c r="E16">
        <v>22</v>
      </c>
      <c r="F16">
        <v>45346</v>
      </c>
      <c r="G16">
        <v>0.1</v>
      </c>
    </row>
    <row r="17" spans="1:7" x14ac:dyDescent="0.3">
      <c r="A17" t="s">
        <v>38</v>
      </c>
      <c r="B17" t="s">
        <v>41</v>
      </c>
      <c r="C17" t="s">
        <v>42</v>
      </c>
      <c r="D17">
        <v>45335</v>
      </c>
      <c r="E17">
        <v>21</v>
      </c>
      <c r="F17">
        <v>45331</v>
      </c>
      <c r="G17">
        <v>0.78</v>
      </c>
    </row>
    <row r="18" spans="1:7" x14ac:dyDescent="0.3">
      <c r="A18" t="s">
        <v>38</v>
      </c>
      <c r="B18" t="s">
        <v>43</v>
      </c>
      <c r="C18" t="s">
        <v>42</v>
      </c>
      <c r="D18">
        <v>45370</v>
      </c>
      <c r="E18">
        <v>25</v>
      </c>
      <c r="F18">
        <v>45395</v>
      </c>
      <c r="G18">
        <v>1</v>
      </c>
    </row>
    <row r="19" spans="1:7" x14ac:dyDescent="0.3">
      <c r="A19" t="s">
        <v>44</v>
      </c>
      <c r="B19" t="s">
        <v>45</v>
      </c>
      <c r="C19" t="s">
        <v>46</v>
      </c>
      <c r="D19">
        <v>45293</v>
      </c>
      <c r="E19">
        <v>23</v>
      </c>
      <c r="F19">
        <v>45316</v>
      </c>
      <c r="G19">
        <v>0.5</v>
      </c>
    </row>
    <row r="20" spans="1:7" x14ac:dyDescent="0.3">
      <c r="A20" t="s">
        <v>44</v>
      </c>
      <c r="B20" t="s">
        <v>47</v>
      </c>
      <c r="C20" t="s">
        <v>48</v>
      </c>
      <c r="D20">
        <v>45317</v>
      </c>
      <c r="E20">
        <v>32</v>
      </c>
      <c r="F20">
        <v>45349</v>
      </c>
      <c r="G20">
        <v>0</v>
      </c>
    </row>
    <row r="21" spans="1:7" x14ac:dyDescent="0.3">
      <c r="A21" t="s">
        <v>44</v>
      </c>
      <c r="B21" t="s">
        <v>49</v>
      </c>
      <c r="C21" t="s">
        <v>50</v>
      </c>
      <c r="D21">
        <v>45350</v>
      </c>
      <c r="E21">
        <v>27</v>
      </c>
      <c r="F21">
        <v>45377</v>
      </c>
      <c r="G21">
        <v>0</v>
      </c>
    </row>
    <row r="22" spans="1:7" x14ac:dyDescent="0.3">
      <c r="A22" t="s">
        <v>51</v>
      </c>
      <c r="B22" t="s">
        <v>52</v>
      </c>
      <c r="C22" t="s">
        <v>53</v>
      </c>
      <c r="D22">
        <v>45293</v>
      </c>
      <c r="E22">
        <v>36</v>
      </c>
      <c r="F22">
        <v>45329</v>
      </c>
      <c r="G22">
        <v>1</v>
      </c>
    </row>
    <row r="23" spans="1:7" x14ac:dyDescent="0.3">
      <c r="A23" t="s">
        <v>51</v>
      </c>
      <c r="B23" t="s">
        <v>54</v>
      </c>
      <c r="C23" t="s">
        <v>55</v>
      </c>
      <c r="D23">
        <v>45330</v>
      </c>
      <c r="E23">
        <v>34</v>
      </c>
      <c r="F23">
        <v>45364</v>
      </c>
      <c r="G23">
        <v>0</v>
      </c>
    </row>
    <row r="24" spans="1:7" x14ac:dyDescent="0.3">
      <c r="A24" t="s">
        <v>51</v>
      </c>
      <c r="B24" t="s">
        <v>56</v>
      </c>
      <c r="C24" t="s">
        <v>57</v>
      </c>
      <c r="D24">
        <v>45365</v>
      </c>
      <c r="E24">
        <v>30</v>
      </c>
      <c r="F24">
        <v>45395</v>
      </c>
      <c r="G24">
        <v>0</v>
      </c>
    </row>
    <row r="25" spans="1:7" x14ac:dyDescent="0.3">
      <c r="A25" t="s">
        <v>58</v>
      </c>
      <c r="B25" t="s">
        <v>59</v>
      </c>
      <c r="C25" t="s">
        <v>60</v>
      </c>
      <c r="D25">
        <v>45294</v>
      </c>
      <c r="E25">
        <v>47</v>
      </c>
      <c r="F25">
        <v>45341</v>
      </c>
      <c r="G25">
        <v>0.3</v>
      </c>
    </row>
    <row r="26" spans="1:7" x14ac:dyDescent="0.3">
      <c r="A26" t="s">
        <v>58</v>
      </c>
      <c r="B26" t="s">
        <v>61</v>
      </c>
      <c r="C26" t="s">
        <v>62</v>
      </c>
      <c r="D26">
        <v>45339</v>
      </c>
      <c r="E26">
        <v>27</v>
      </c>
      <c r="F26">
        <v>45366</v>
      </c>
      <c r="G26">
        <v>0</v>
      </c>
    </row>
    <row r="27" spans="1:7" x14ac:dyDescent="0.3">
      <c r="A27" t="s">
        <v>58</v>
      </c>
      <c r="B27" t="s">
        <v>63</v>
      </c>
      <c r="C27" t="s">
        <v>64</v>
      </c>
      <c r="D27">
        <v>45365</v>
      </c>
      <c r="E27">
        <v>22</v>
      </c>
      <c r="F27">
        <v>45387</v>
      </c>
      <c r="G27">
        <v>0</v>
      </c>
    </row>
    <row r="28" spans="1:7" x14ac:dyDescent="0.3">
      <c r="A28" t="s">
        <v>65</v>
      </c>
      <c r="B28" t="s">
        <v>66</v>
      </c>
      <c r="C28" t="s">
        <v>67</v>
      </c>
      <c r="D28">
        <v>45294</v>
      </c>
      <c r="E28">
        <v>60</v>
      </c>
      <c r="F28">
        <v>45354</v>
      </c>
      <c r="G28">
        <v>0.7</v>
      </c>
    </row>
    <row r="29" spans="1:7" x14ac:dyDescent="0.3">
      <c r="A29" t="s">
        <v>65</v>
      </c>
      <c r="B29" t="s">
        <v>68</v>
      </c>
      <c r="C29" t="s">
        <v>69</v>
      </c>
      <c r="D29">
        <v>45297</v>
      </c>
      <c r="E29">
        <v>20</v>
      </c>
      <c r="F29">
        <v>45317</v>
      </c>
      <c r="G29">
        <v>0.78</v>
      </c>
    </row>
    <row r="30" spans="1:7" x14ac:dyDescent="0.3">
      <c r="A30" t="s">
        <v>65</v>
      </c>
      <c r="B30" t="s">
        <v>70</v>
      </c>
      <c r="C30" t="s">
        <v>71</v>
      </c>
      <c r="D30">
        <v>45325</v>
      </c>
      <c r="E30">
        <v>35</v>
      </c>
      <c r="F30">
        <v>45360</v>
      </c>
      <c r="G30">
        <v>0</v>
      </c>
    </row>
    <row r="31" spans="1:7" x14ac:dyDescent="0.3">
      <c r="A31" t="s">
        <v>72</v>
      </c>
      <c r="B31" t="s">
        <v>73</v>
      </c>
      <c r="C31" t="s">
        <v>74</v>
      </c>
      <c r="D31">
        <v>45292</v>
      </c>
      <c r="E31">
        <v>25</v>
      </c>
      <c r="F31">
        <v>45317</v>
      </c>
      <c r="G31">
        <v>1</v>
      </c>
    </row>
    <row r="32" spans="1:7" x14ac:dyDescent="0.3">
      <c r="A32" t="s">
        <v>72</v>
      </c>
      <c r="B32" t="s">
        <v>75</v>
      </c>
      <c r="C32" t="s">
        <v>76</v>
      </c>
      <c r="D32">
        <v>45318</v>
      </c>
      <c r="E32">
        <v>31</v>
      </c>
      <c r="F32">
        <v>45349</v>
      </c>
      <c r="G32">
        <v>1</v>
      </c>
    </row>
    <row r="33" spans="1:7" x14ac:dyDescent="0.3">
      <c r="A33" t="s">
        <v>72</v>
      </c>
      <c r="B33" t="s">
        <v>77</v>
      </c>
      <c r="C33" t="s">
        <v>78</v>
      </c>
      <c r="D33">
        <v>45353</v>
      </c>
      <c r="E33">
        <v>22</v>
      </c>
      <c r="F33">
        <v>45375</v>
      </c>
      <c r="G33">
        <v>0</v>
      </c>
    </row>
    <row r="34" spans="1:7" x14ac:dyDescent="0.3">
      <c r="A34" t="s">
        <v>79</v>
      </c>
      <c r="B34" t="s">
        <v>80</v>
      </c>
      <c r="C34" t="s">
        <v>81</v>
      </c>
      <c r="D34">
        <v>45294</v>
      </c>
      <c r="E34">
        <v>30</v>
      </c>
      <c r="F34">
        <v>45324</v>
      </c>
      <c r="G34">
        <v>0.4</v>
      </c>
    </row>
    <row r="35" spans="1:7" x14ac:dyDescent="0.3">
      <c r="A35" t="s">
        <v>79</v>
      </c>
      <c r="B35" t="s">
        <v>82</v>
      </c>
      <c r="C35" t="s">
        <v>83</v>
      </c>
      <c r="D35">
        <v>45325</v>
      </c>
      <c r="E35">
        <v>25</v>
      </c>
      <c r="F35">
        <v>45350</v>
      </c>
      <c r="G35">
        <v>0</v>
      </c>
    </row>
    <row r="36" spans="1:7" x14ac:dyDescent="0.3">
      <c r="A36" t="s">
        <v>79</v>
      </c>
      <c r="B36" t="s">
        <v>84</v>
      </c>
      <c r="C36" t="s">
        <v>85</v>
      </c>
      <c r="D36">
        <v>45351</v>
      </c>
      <c r="E36">
        <v>20</v>
      </c>
      <c r="F36">
        <v>45371</v>
      </c>
      <c r="G36">
        <v>0</v>
      </c>
    </row>
    <row r="37" spans="1:7" x14ac:dyDescent="0.3">
      <c r="A37" t="s">
        <v>86</v>
      </c>
      <c r="B37" t="s">
        <v>87</v>
      </c>
      <c r="C37" t="s">
        <v>28</v>
      </c>
      <c r="D37">
        <v>45293</v>
      </c>
      <c r="E37">
        <v>35</v>
      </c>
      <c r="F37">
        <v>45328</v>
      </c>
      <c r="G37">
        <v>0.6</v>
      </c>
    </row>
    <row r="38" spans="1:7" x14ac:dyDescent="0.3">
      <c r="A38" t="s">
        <v>86</v>
      </c>
      <c r="B38" t="s">
        <v>88</v>
      </c>
      <c r="C38" t="s">
        <v>89</v>
      </c>
      <c r="D38">
        <v>45324</v>
      </c>
      <c r="E38">
        <v>32</v>
      </c>
      <c r="F38">
        <v>45356</v>
      </c>
      <c r="G38">
        <v>0</v>
      </c>
    </row>
    <row r="39" spans="1:7" x14ac:dyDescent="0.3">
      <c r="A39" t="s">
        <v>86</v>
      </c>
      <c r="B39" t="s">
        <v>90</v>
      </c>
      <c r="C39" t="s">
        <v>91</v>
      </c>
      <c r="D39">
        <v>45357</v>
      </c>
      <c r="E39">
        <v>25</v>
      </c>
      <c r="F39">
        <v>45382</v>
      </c>
      <c r="G39">
        <v>0</v>
      </c>
    </row>
    <row r="40" spans="1:7" x14ac:dyDescent="0.3">
      <c r="A40" t="s">
        <v>92</v>
      </c>
      <c r="B40" t="s">
        <v>93</v>
      </c>
      <c r="C40" t="s">
        <v>94</v>
      </c>
      <c r="D40">
        <v>45295</v>
      </c>
      <c r="E40">
        <v>27</v>
      </c>
      <c r="F40">
        <v>45322</v>
      </c>
      <c r="G40">
        <v>0.8</v>
      </c>
    </row>
    <row r="41" spans="1:7" x14ac:dyDescent="0.3">
      <c r="A41" t="s">
        <v>92</v>
      </c>
      <c r="B41" t="s">
        <v>95</v>
      </c>
      <c r="C41" t="s">
        <v>96</v>
      </c>
      <c r="D41">
        <v>45319</v>
      </c>
      <c r="E41">
        <v>30</v>
      </c>
      <c r="F41">
        <v>45349</v>
      </c>
      <c r="G41">
        <v>0</v>
      </c>
    </row>
    <row r="42" spans="1:7" x14ac:dyDescent="0.3">
      <c r="A42" t="s">
        <v>92</v>
      </c>
      <c r="B42" t="s">
        <v>97</v>
      </c>
      <c r="C42" t="s">
        <v>98</v>
      </c>
      <c r="D42">
        <v>45350</v>
      </c>
      <c r="E42">
        <v>22</v>
      </c>
      <c r="F42">
        <v>45372</v>
      </c>
      <c r="G42">
        <v>0</v>
      </c>
    </row>
    <row r="43" spans="1:7" x14ac:dyDescent="0.3">
      <c r="A43" t="s">
        <v>99</v>
      </c>
      <c r="B43" t="s">
        <v>100</v>
      </c>
      <c r="C43" t="s">
        <v>101</v>
      </c>
      <c r="D43">
        <v>45294</v>
      </c>
      <c r="E43">
        <v>25</v>
      </c>
      <c r="F43">
        <v>45319</v>
      </c>
      <c r="G43">
        <v>0.3</v>
      </c>
    </row>
    <row r="44" spans="1:7" x14ac:dyDescent="0.3">
      <c r="A44" t="s">
        <v>99</v>
      </c>
      <c r="B44" t="s">
        <v>102</v>
      </c>
      <c r="C44" t="s">
        <v>103</v>
      </c>
      <c r="D44">
        <v>45325</v>
      </c>
      <c r="E44">
        <v>20</v>
      </c>
      <c r="F44">
        <v>45345</v>
      </c>
      <c r="G44">
        <v>0</v>
      </c>
    </row>
    <row r="45" spans="1:7" x14ac:dyDescent="0.3">
      <c r="A45" t="s">
        <v>99</v>
      </c>
      <c r="B45" t="s">
        <v>104</v>
      </c>
      <c r="C45" t="s">
        <v>105</v>
      </c>
      <c r="D45">
        <v>45346</v>
      </c>
      <c r="E45">
        <v>35</v>
      </c>
      <c r="F45">
        <v>45381</v>
      </c>
      <c r="G45">
        <v>0</v>
      </c>
    </row>
    <row r="46" spans="1:7" x14ac:dyDescent="0.3">
      <c r="A46" t="s">
        <v>106</v>
      </c>
      <c r="B46" t="s">
        <v>107</v>
      </c>
      <c r="C46" t="s">
        <v>108</v>
      </c>
      <c r="D46">
        <v>45294</v>
      </c>
      <c r="E46">
        <v>25</v>
      </c>
      <c r="F46">
        <v>45319</v>
      </c>
      <c r="G46">
        <v>0.5</v>
      </c>
    </row>
    <row r="47" spans="1:7" x14ac:dyDescent="0.3">
      <c r="A47" t="s">
        <v>106</v>
      </c>
      <c r="B47" t="s">
        <v>109</v>
      </c>
      <c r="C47" t="s">
        <v>110</v>
      </c>
      <c r="D47">
        <v>45320</v>
      </c>
      <c r="E47">
        <v>30</v>
      </c>
      <c r="F47">
        <v>45350</v>
      </c>
      <c r="G47">
        <v>1</v>
      </c>
    </row>
    <row r="48" spans="1:7" x14ac:dyDescent="0.3">
      <c r="A48" t="s">
        <v>106</v>
      </c>
      <c r="B48" t="s">
        <v>111</v>
      </c>
      <c r="C48" t="s">
        <v>112</v>
      </c>
      <c r="D48">
        <v>45380</v>
      </c>
      <c r="E48">
        <v>20</v>
      </c>
      <c r="F48">
        <v>45400</v>
      </c>
      <c r="G48">
        <v>0</v>
      </c>
    </row>
    <row r="49" spans="1:7" x14ac:dyDescent="0.3">
      <c r="A49" t="s">
        <v>113</v>
      </c>
      <c r="B49" t="s">
        <v>114</v>
      </c>
      <c r="C49" t="s">
        <v>55</v>
      </c>
      <c r="D49">
        <v>45293</v>
      </c>
      <c r="E49">
        <v>25</v>
      </c>
      <c r="F49">
        <v>45318</v>
      </c>
      <c r="G49">
        <v>0.2</v>
      </c>
    </row>
    <row r="50" spans="1:7" x14ac:dyDescent="0.3">
      <c r="A50" t="s">
        <v>113</v>
      </c>
      <c r="B50" t="s">
        <v>115</v>
      </c>
      <c r="C50" t="s">
        <v>57</v>
      </c>
      <c r="D50">
        <v>45324</v>
      </c>
      <c r="E50">
        <v>22</v>
      </c>
      <c r="F50">
        <v>45346</v>
      </c>
      <c r="G50">
        <v>0</v>
      </c>
    </row>
    <row r="51" spans="1:7" x14ac:dyDescent="0.3">
      <c r="A51" t="s">
        <v>113</v>
      </c>
      <c r="B51" t="s">
        <v>116</v>
      </c>
      <c r="C51" t="s">
        <v>117</v>
      </c>
      <c r="D51">
        <v>45345</v>
      </c>
      <c r="E51">
        <v>27</v>
      </c>
      <c r="F51">
        <v>45372</v>
      </c>
      <c r="G5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CA1D-6BAB-4E77-AA15-EACAEC57516E}">
  <dimension ref="A1:W84"/>
  <sheetViews>
    <sheetView tabSelected="1" topLeftCell="L1" workbookViewId="0">
      <selection activeCell="T6" sqref="T6"/>
    </sheetView>
  </sheetViews>
  <sheetFormatPr defaultRowHeight="14.4" x14ac:dyDescent="0.3"/>
  <cols>
    <col min="1" max="1" width="15.109375" customWidth="1"/>
    <col min="2" max="2" width="4.5546875" customWidth="1"/>
    <col min="3" max="3" width="12.33203125" bestFit="1" customWidth="1"/>
    <col min="4" max="4" width="10.77734375" bestFit="1" customWidth="1"/>
    <col min="5" max="5" width="13.5546875" bestFit="1" customWidth="1"/>
    <col min="6" max="6" width="13.6640625" bestFit="1" customWidth="1"/>
    <col min="7" max="7" width="15.5546875" bestFit="1" customWidth="1"/>
    <col min="8" max="8" width="17.33203125" bestFit="1" customWidth="1"/>
    <col min="9" max="12" width="17.33203125" customWidth="1"/>
    <col min="13" max="13" width="45.77734375" customWidth="1"/>
    <col min="14" max="14" width="10.77734375" bestFit="1" customWidth="1"/>
    <col min="15" max="15" width="13.33203125" bestFit="1" customWidth="1"/>
    <col min="16" max="16" width="19.88671875" bestFit="1" customWidth="1"/>
    <col min="17" max="20" width="19.88671875" customWidth="1"/>
    <col min="21" max="21" width="13.5546875" bestFit="1" customWidth="1"/>
    <col min="22" max="22" width="11.77734375" bestFit="1" customWidth="1"/>
  </cols>
  <sheetData>
    <row r="1" spans="1:23" x14ac:dyDescent="0.3">
      <c r="A1" t="s">
        <v>209</v>
      </c>
      <c r="B1" t="s">
        <v>210</v>
      </c>
      <c r="C1" t="s">
        <v>211</v>
      </c>
      <c r="D1" t="s">
        <v>3</v>
      </c>
      <c r="E1" t="s">
        <v>4</v>
      </c>
      <c r="F1" t="s">
        <v>5</v>
      </c>
      <c r="G1" t="s">
        <v>6</v>
      </c>
      <c r="H1" t="s">
        <v>118</v>
      </c>
      <c r="I1" t="s">
        <v>244</v>
      </c>
      <c r="J1" t="s">
        <v>246</v>
      </c>
      <c r="K1" t="s">
        <v>245</v>
      </c>
      <c r="L1" t="s">
        <v>242</v>
      </c>
      <c r="M1" t="s">
        <v>243</v>
      </c>
      <c r="N1" t="s">
        <v>119</v>
      </c>
      <c r="O1" t="s">
        <v>120</v>
      </c>
      <c r="P1" t="s">
        <v>121</v>
      </c>
      <c r="Q1" t="s">
        <v>249</v>
      </c>
      <c r="R1" t="s">
        <v>251</v>
      </c>
      <c r="S1" t="s">
        <v>252</v>
      </c>
      <c r="T1" t="s">
        <v>250</v>
      </c>
      <c r="U1" t="s">
        <v>253</v>
      </c>
      <c r="V1" t="s">
        <v>122</v>
      </c>
      <c r="W1" t="s">
        <v>123</v>
      </c>
    </row>
    <row r="2" spans="1:23" x14ac:dyDescent="0.3">
      <c r="J2" t="str">
        <f t="shared" ref="J2:J33" si="0">PROPER(H6)</f>
        <v>Texas</v>
      </c>
      <c r="K2" t="str">
        <f t="shared" ref="K2:K33" si="1">UPPER(H3)</f>
        <v>STATE</v>
      </c>
      <c r="L2" t="str">
        <f>LOWER(Call_Center_Data[[#This Row],[Column8]])</f>
        <v/>
      </c>
      <c r="M2" t="str">
        <f>CONCATENATE(G3," ",F3," ",H3)</f>
        <v>City Reason State</v>
      </c>
      <c r="T2">
        <f t="shared" ref="T2:T33" si="2">SUMIF(S:S,"pass",P:P)</f>
        <v>363</v>
      </c>
      <c r="U2">
        <f>SUMIF(Call_Center_Data[[#Headers],[Column11]],Q3="great")</f>
        <v>0</v>
      </c>
    </row>
    <row r="3" spans="1:23" x14ac:dyDescent="0.3">
      <c r="A3" t="s">
        <v>124</v>
      </c>
      <c r="D3" t="s">
        <v>125</v>
      </c>
      <c r="E3" t="s">
        <v>126</v>
      </c>
      <c r="F3" t="s">
        <v>127</v>
      </c>
      <c r="G3" t="s">
        <v>128</v>
      </c>
      <c r="H3" t="s">
        <v>129</v>
      </c>
      <c r="J3" t="str">
        <f t="shared" si="0"/>
        <v>Florida</v>
      </c>
      <c r="K3" t="str">
        <f t="shared" si="1"/>
        <v>WEST VIRGINIA</v>
      </c>
      <c r="L3" t="str">
        <f>LOWER(Call_Center_Data[[#This Row],[Column8]])</f>
        <v>state</v>
      </c>
      <c r="M3" t="str">
        <f>CONCATENATE(G4," ",F4," ",H4)</f>
        <v>Charleston Billing Question West Virginia</v>
      </c>
      <c r="N3" t="s">
        <v>130</v>
      </c>
      <c r="O3" t="s">
        <v>131</v>
      </c>
      <c r="T3">
        <f t="shared" si="2"/>
        <v>363</v>
      </c>
      <c r="V3" t="s">
        <v>132</v>
      </c>
    </row>
    <row r="4" spans="1:23" x14ac:dyDescent="0.3">
      <c r="A4" t="s">
        <v>212</v>
      </c>
      <c r="B4" t="s">
        <v>213</v>
      </c>
      <c r="C4">
        <v>39858047</v>
      </c>
      <c r="D4">
        <v>8</v>
      </c>
      <c r="E4">
        <v>45292</v>
      </c>
      <c r="F4" t="s">
        <v>133</v>
      </c>
      <c r="G4" t="s">
        <v>134</v>
      </c>
      <c r="H4" t="s">
        <v>135</v>
      </c>
      <c r="J4" t="str">
        <f t="shared" si="0"/>
        <v>Alabama Ghio</v>
      </c>
      <c r="K4" t="str">
        <f t="shared" si="1"/>
        <v>HAWAII</v>
      </c>
      <c r="L4" t="str">
        <f>LOWER(Call_Center_Data[[#This Row],[Column8]])</f>
        <v>west virginia</v>
      </c>
      <c r="M4" t="str">
        <f>CONCATENATE(G5," ",F5," ",H5)</f>
        <v>Honolulu Billing Question Hawaii</v>
      </c>
      <c r="N4" t="s">
        <v>136</v>
      </c>
      <c r="O4" t="s">
        <v>137</v>
      </c>
      <c r="P4">
        <v>14</v>
      </c>
      <c r="Q4" t="str">
        <f>IF(Call_Center_Data[[#This Row],[Column11]]&gt;=20," great", " bad")</f>
        <v xml:space="preserve"> bad</v>
      </c>
      <c r="R4" t="str">
        <f>IF(AND(Call_Center_Data[[#This Row],[Column11]]&gt;=30,Call_Center_Data[[#This Row],[if]]=" great"),"in","out")</f>
        <v>out</v>
      </c>
      <c r="S4" t="str">
        <f>IF(OR(Call_Center_Data[[#This Row],[if]]="great",Call_Center_Data[[#This Row],[and]]="in"),"pass","fail")</f>
        <v>fail</v>
      </c>
      <c r="T4">
        <f t="shared" si="2"/>
        <v>363</v>
      </c>
      <c r="U4">
        <f>SUMIF(Q:Q,"bad",P:P)</f>
        <v>0</v>
      </c>
      <c r="V4" t="s">
        <v>138</v>
      </c>
    </row>
    <row r="5" spans="1:23" x14ac:dyDescent="0.3">
      <c r="A5" t="s">
        <v>214</v>
      </c>
      <c r="B5" t="s">
        <v>213</v>
      </c>
      <c r="C5">
        <v>40287216</v>
      </c>
      <c r="D5">
        <v>5</v>
      </c>
      <c r="E5">
        <v>45292</v>
      </c>
      <c r="F5" t="s">
        <v>133</v>
      </c>
      <c r="G5" t="s">
        <v>139</v>
      </c>
      <c r="H5" t="s">
        <v>140</v>
      </c>
      <c r="J5" t="str">
        <f t="shared" si="0"/>
        <v>South Carolina</v>
      </c>
      <c r="K5" t="str">
        <f t="shared" si="1"/>
        <v>TEXAS</v>
      </c>
      <c r="L5" t="str">
        <f>LOWER(Call_Center_Data[[#This Row],[Column8]])</f>
        <v>hawaii</v>
      </c>
      <c r="M5" t="str">
        <f>CONCATENATE(G6," ",F6," ",H6)</f>
        <v>Dallas Billing Question Texas</v>
      </c>
      <c r="N5" t="s">
        <v>141</v>
      </c>
      <c r="O5" t="s">
        <v>137</v>
      </c>
      <c r="P5">
        <v>32</v>
      </c>
      <c r="Q5" t="str">
        <f>IF(Call_Center_Data[[#This Row],[Column11]]&gt;=20," great", " bad")</f>
        <v xml:space="preserve"> great</v>
      </c>
      <c r="R5" t="str">
        <f>IF(AND(Call_Center_Data[[#This Row],[Column11]]&gt;=30,Call_Center_Data[[#This Row],[if]]=" great"),"in","out")</f>
        <v>in</v>
      </c>
      <c r="S5" t="str">
        <f>IF(OR(Call_Center_Data[[#This Row],[if]]="great",Call_Center_Data[[#This Row],[and]]="in"),"pass","fail")</f>
        <v>pass</v>
      </c>
      <c r="T5">
        <f t="shared" si="2"/>
        <v>363</v>
      </c>
      <c r="U5">
        <f>SUMIF(Call_Center_Data[[#Headers],[Column11]],Q6="great")</f>
        <v>0</v>
      </c>
      <c r="V5" t="s">
        <v>142</v>
      </c>
    </row>
    <row r="6" spans="1:23" x14ac:dyDescent="0.3">
      <c r="A6" t="s">
        <v>215</v>
      </c>
      <c r="B6" t="s">
        <v>213</v>
      </c>
      <c r="C6">
        <v>39578431</v>
      </c>
      <c r="D6">
        <v>3</v>
      </c>
      <c r="E6">
        <v>45293</v>
      </c>
      <c r="F6" t="s">
        <v>133</v>
      </c>
      <c r="G6" t="s">
        <v>143</v>
      </c>
      <c r="H6" t="s">
        <v>144</v>
      </c>
      <c r="J6" t="str">
        <f t="shared" si="0"/>
        <v>Arkansas</v>
      </c>
      <c r="K6" t="str">
        <f t="shared" si="1"/>
        <v>FLORIDA</v>
      </c>
      <c r="L6" t="str">
        <f>LOWER(Call_Center_Data[[#This Row],[Column8]])</f>
        <v>texas</v>
      </c>
      <c r="M6" t="str">
        <f>CONCATENATE(G7," ",F7," ",H7)</f>
        <v>Fort Myers Billing Question Florida</v>
      </c>
      <c r="N6" t="s">
        <v>136</v>
      </c>
      <c r="O6" t="s">
        <v>137</v>
      </c>
      <c r="P6">
        <v>6</v>
      </c>
      <c r="Q6" t="str">
        <f>IF(Call_Center_Data[[#This Row],[Column11]]&gt;=20," great", " bad")</f>
        <v xml:space="preserve"> bad</v>
      </c>
      <c r="R6" t="str">
        <f>IF(AND(Call_Center_Data[[#This Row],[Column11]]&gt;=30,Call_Center_Data[[#This Row],[if]]=" great"),"in","out")</f>
        <v>out</v>
      </c>
      <c r="S6" t="str">
        <f>IF(OR(Call_Center_Data[[#This Row],[if]]="great",Call_Center_Data[[#This Row],[and]]="in"),"pass","fail")</f>
        <v>fail</v>
      </c>
      <c r="T6">
        <f t="shared" si="2"/>
        <v>363</v>
      </c>
      <c r="U6">
        <f>SUMIF(Call_Center_Data[[#Headers],[Column11]],Q7="great")</f>
        <v>0</v>
      </c>
      <c r="V6" t="s">
        <v>145</v>
      </c>
    </row>
    <row r="7" spans="1:23" x14ac:dyDescent="0.3">
      <c r="A7" t="s">
        <v>216</v>
      </c>
      <c r="B7" t="s">
        <v>213</v>
      </c>
      <c r="C7">
        <v>17008648</v>
      </c>
      <c r="D7">
        <v>4</v>
      </c>
      <c r="E7">
        <v>45293</v>
      </c>
      <c r="F7" t="s">
        <v>133</v>
      </c>
      <c r="G7" t="s">
        <v>146</v>
      </c>
      <c r="H7" t="s">
        <v>147</v>
      </c>
      <c r="J7" t="str">
        <f t="shared" si="0"/>
        <v>Tennessee</v>
      </c>
      <c r="K7" t="str">
        <f t="shared" si="1"/>
        <v>ALABAMA GHIO</v>
      </c>
      <c r="L7" t="str">
        <f>LOWER(Call_Center_Data[[#This Row],[Column8]])</f>
        <v>florida</v>
      </c>
      <c r="M7" t="str">
        <f>CONCATENATE(G8," ",F8," ",H8)</f>
        <v>Tuscaloosa Billing Question Alabama ghio</v>
      </c>
      <c r="N7" t="s">
        <v>148</v>
      </c>
      <c r="O7" t="s">
        <v>149</v>
      </c>
      <c r="P7">
        <v>26</v>
      </c>
      <c r="Q7" t="str">
        <f>IF(Call_Center_Data[[#This Row],[Column11]]&gt;=20," great", " bad")</f>
        <v xml:space="preserve"> great</v>
      </c>
      <c r="R7" t="str">
        <f>IF(AND(Call_Center_Data[[#This Row],[Column11]]&gt;=30,Call_Center_Data[[#This Row],[if]]=" great"),"in","out")</f>
        <v>out</v>
      </c>
      <c r="S7" t="str">
        <f>IF(OR(Call_Center_Data[[#This Row],[if]]="great",Call_Center_Data[[#This Row],[and]]="in"),"pass","fail")</f>
        <v>fail</v>
      </c>
      <c r="T7">
        <f t="shared" si="2"/>
        <v>363</v>
      </c>
      <c r="U7">
        <f>SUMIF(Call_Center_Data[[#Headers],[Column11]],Q8="great")</f>
        <v>0</v>
      </c>
      <c r="V7" t="s">
        <v>142</v>
      </c>
    </row>
    <row r="8" spans="1:23" x14ac:dyDescent="0.3">
      <c r="A8" t="s">
        <v>217</v>
      </c>
      <c r="B8" t="s">
        <v>213</v>
      </c>
      <c r="C8">
        <v>38443501</v>
      </c>
      <c r="D8">
        <v>8</v>
      </c>
      <c r="E8">
        <v>45293</v>
      </c>
      <c r="F8" t="s">
        <v>133</v>
      </c>
      <c r="G8" t="s">
        <v>150</v>
      </c>
      <c r="H8" t="s">
        <v>248</v>
      </c>
      <c r="J8" t="str">
        <f t="shared" si="0"/>
        <v>California</v>
      </c>
      <c r="K8" t="str">
        <f t="shared" si="1"/>
        <v>SOUTH CAROLINA</v>
      </c>
      <c r="L8" t="str">
        <f>LOWER(Call_Center_Data[[#This Row],[Column8]])</f>
        <v>alabama ghio</v>
      </c>
      <c r="M8" t="str">
        <f>CONCATENATE(G9," ",F9," ",H9)</f>
        <v>Charleston Billing Question South carolina</v>
      </c>
      <c r="N8" t="s">
        <v>151</v>
      </c>
      <c r="O8" t="s">
        <v>137</v>
      </c>
      <c r="P8">
        <v>26</v>
      </c>
      <c r="Q8" t="str">
        <f>IF(Call_Center_Data[[#This Row],[Column11]]&gt;=20," great", " bad")</f>
        <v xml:space="preserve"> great</v>
      </c>
      <c r="R8" t="str">
        <f>IF(AND(Call_Center_Data[[#This Row],[Column11]]&gt;=30,Call_Center_Data[[#This Row],[if]]=" great"),"in","out")</f>
        <v>out</v>
      </c>
      <c r="S8" t="str">
        <f>IF(OR(Call_Center_Data[[#This Row],[if]]="great",Call_Center_Data[[#This Row],[and]]="in"),"pass","fail")</f>
        <v>fail</v>
      </c>
      <c r="T8">
        <f t="shared" si="2"/>
        <v>363</v>
      </c>
      <c r="U8">
        <f>SUMIF(Call_Center_Data[[#Headers],[Column11]],Q9="great")</f>
        <v>0</v>
      </c>
      <c r="V8" t="s">
        <v>142</v>
      </c>
    </row>
    <row r="9" spans="1:23" x14ac:dyDescent="0.3">
      <c r="A9" t="s">
        <v>218</v>
      </c>
      <c r="B9" t="s">
        <v>213</v>
      </c>
      <c r="C9">
        <v>49133006</v>
      </c>
      <c r="D9">
        <v>4</v>
      </c>
      <c r="E9">
        <v>45294</v>
      </c>
      <c r="F9" t="s">
        <v>133</v>
      </c>
      <c r="G9" t="s">
        <v>134</v>
      </c>
      <c r="H9" t="s">
        <v>247</v>
      </c>
      <c r="J9" t="str">
        <f t="shared" si="0"/>
        <v>Pennsylvania</v>
      </c>
      <c r="K9" t="str">
        <f t="shared" si="1"/>
        <v>ARKANSAS</v>
      </c>
      <c r="L9" t="str">
        <f>LOWER(Call_Center_Data[[#This Row],[Column8]])</f>
        <v>south carolina</v>
      </c>
      <c r="M9" t="str">
        <f>CONCATENATE(G10," ",F10," ",H10)</f>
        <v>Little Rock Billing Question Arkansas</v>
      </c>
      <c r="N9" t="s">
        <v>151</v>
      </c>
      <c r="O9" t="s">
        <v>137</v>
      </c>
      <c r="P9">
        <v>6</v>
      </c>
      <c r="Q9" t="str">
        <f>IF(Call_Center_Data[[#This Row],[Column11]]&gt;=20," great", " bad")</f>
        <v xml:space="preserve"> bad</v>
      </c>
      <c r="R9" t="str">
        <f>IF(AND(Call_Center_Data[[#This Row],[Column11]]&gt;=30,Call_Center_Data[[#This Row],[if]]=" great"),"in","out")</f>
        <v>out</v>
      </c>
      <c r="S9" t="str">
        <f>IF(OR(Call_Center_Data[[#This Row],[if]]="great",Call_Center_Data[[#This Row],[and]]="in"),"pass","fail")</f>
        <v>fail</v>
      </c>
      <c r="T9">
        <f t="shared" si="2"/>
        <v>363</v>
      </c>
      <c r="U9">
        <f>SUMIF(Call_Center_Data[[#Headers],[Column11]],Q10="great")</f>
        <v>0</v>
      </c>
      <c r="V9" t="s">
        <v>152</v>
      </c>
    </row>
    <row r="10" spans="1:23" x14ac:dyDescent="0.3">
      <c r="A10" t="s">
        <v>219</v>
      </c>
      <c r="B10" t="s">
        <v>213</v>
      </c>
      <c r="C10">
        <v>13083880</v>
      </c>
      <c r="D10">
        <v>3</v>
      </c>
      <c r="E10">
        <v>45295</v>
      </c>
      <c r="F10" t="s">
        <v>133</v>
      </c>
      <c r="G10" t="s">
        <v>154</v>
      </c>
      <c r="H10" t="s">
        <v>155</v>
      </c>
      <c r="J10" t="str">
        <f t="shared" si="0"/>
        <v>Arizona</v>
      </c>
      <c r="K10" t="str">
        <f t="shared" si="1"/>
        <v>TENNESSEE</v>
      </c>
      <c r="L10" t="str">
        <f>LOWER(Call_Center_Data[[#This Row],[Column8]])</f>
        <v>arkansas</v>
      </c>
      <c r="M10" t="str">
        <f>CONCATENATE(G11," ",F11," ",H11)</f>
        <v>Nashville Billing Question Tennessee</v>
      </c>
      <c r="N10" t="s">
        <v>141</v>
      </c>
      <c r="O10" t="s">
        <v>137</v>
      </c>
      <c r="P10">
        <v>15</v>
      </c>
      <c r="Q10" t="str">
        <f>IF(Call_Center_Data[[#This Row],[Column11]]&gt;=20," great", " bad")</f>
        <v xml:space="preserve"> bad</v>
      </c>
      <c r="R10" t="str">
        <f>IF(AND(Call_Center_Data[[#This Row],[Column11]]&gt;=30,Call_Center_Data[[#This Row],[if]]=" great"),"in","out")</f>
        <v>out</v>
      </c>
      <c r="S10" t="str">
        <f>IF(OR(Call_Center_Data[[#This Row],[if]]="great",Call_Center_Data[[#This Row],[and]]="in"),"pass","fail")</f>
        <v>fail</v>
      </c>
      <c r="T10">
        <f t="shared" si="2"/>
        <v>363</v>
      </c>
      <c r="U10">
        <f>SUMIF(Call_Center_Data[[#Headers],[Column11]],Q11="great")</f>
        <v>0</v>
      </c>
      <c r="V10" t="s">
        <v>152</v>
      </c>
    </row>
    <row r="11" spans="1:23" x14ac:dyDescent="0.3">
      <c r="A11" t="s">
        <v>220</v>
      </c>
      <c r="B11" t="s">
        <v>213</v>
      </c>
      <c r="C11">
        <v>68562847</v>
      </c>
      <c r="D11">
        <v>3</v>
      </c>
      <c r="E11">
        <v>45295</v>
      </c>
      <c r="F11" t="s">
        <v>133</v>
      </c>
      <c r="G11" t="s">
        <v>156</v>
      </c>
      <c r="H11" t="s">
        <v>157</v>
      </c>
      <c r="J11" t="str">
        <f t="shared" si="0"/>
        <v>Iowa</v>
      </c>
      <c r="K11" t="str">
        <f t="shared" si="1"/>
        <v>CALIFORNIA</v>
      </c>
      <c r="L11" t="str">
        <f>LOWER(Call_Center_Data[[#This Row],[Column8]])</f>
        <v>tennessee</v>
      </c>
      <c r="M11" t="str">
        <f>CONCATENATE(G12," ",F12," ",H12)</f>
        <v>Santa Ana Billing Question California</v>
      </c>
      <c r="N11" t="s">
        <v>151</v>
      </c>
      <c r="O11" t="s">
        <v>137</v>
      </c>
      <c r="P11">
        <v>12</v>
      </c>
      <c r="Q11" t="str">
        <f>IF(Call_Center_Data[[#This Row],[Column11]]&gt;=20," great", " bad")</f>
        <v xml:space="preserve"> bad</v>
      </c>
      <c r="R11" t="str">
        <f>IF(AND(Call_Center_Data[[#This Row],[Column11]]&gt;=30,Call_Center_Data[[#This Row],[if]]=" great"),"in","out")</f>
        <v>out</v>
      </c>
      <c r="S11" t="str">
        <f>IF(OR(Call_Center_Data[[#This Row],[if]]="great",Call_Center_Data[[#This Row],[and]]="in"),"pass","fail")</f>
        <v>fail</v>
      </c>
      <c r="T11">
        <f t="shared" si="2"/>
        <v>363</v>
      </c>
      <c r="U11">
        <f>SUMIF(Call_Center_Data[[#Headers],[Column11]],Q12="great")</f>
        <v>0</v>
      </c>
      <c r="V11" t="s">
        <v>142</v>
      </c>
    </row>
    <row r="12" spans="1:23" x14ac:dyDescent="0.3">
      <c r="A12" t="s">
        <v>221</v>
      </c>
      <c r="B12" t="s">
        <v>213</v>
      </c>
      <c r="C12">
        <v>80812775</v>
      </c>
      <c r="D12">
        <v>3</v>
      </c>
      <c r="E12">
        <v>45296</v>
      </c>
      <c r="F12" t="s">
        <v>133</v>
      </c>
      <c r="G12" t="s">
        <v>158</v>
      </c>
      <c r="H12" t="s">
        <v>159</v>
      </c>
      <c r="J12" t="str">
        <f t="shared" si="0"/>
        <v>Michigan</v>
      </c>
      <c r="K12" t="str">
        <f t="shared" si="1"/>
        <v>PENNSYLVANIA</v>
      </c>
      <c r="L12" t="str">
        <f>LOWER(Call_Center_Data[[#This Row],[Column8]])</f>
        <v>california</v>
      </c>
      <c r="M12" t="str">
        <f>CONCATENATE(G13," ",F13," ",H13)</f>
        <v>Pittsburgh Billing Question Pennsylvania</v>
      </c>
      <c r="N12" t="s">
        <v>136</v>
      </c>
      <c r="O12" t="s">
        <v>160</v>
      </c>
      <c r="P12">
        <v>44</v>
      </c>
      <c r="Q12" t="str">
        <f>IF(Call_Center_Data[[#This Row],[Column11]]&gt;=20," great", " bad")</f>
        <v xml:space="preserve"> great</v>
      </c>
      <c r="R12" t="str">
        <f>IF(AND(Call_Center_Data[[#This Row],[Column11]]&gt;=30,Call_Center_Data[[#This Row],[if]]=" great"),"in","out")</f>
        <v>in</v>
      </c>
      <c r="S12" t="str">
        <f>IF(OR(Call_Center_Data[[#This Row],[if]]="great",Call_Center_Data[[#This Row],[and]]="in"),"pass","fail")</f>
        <v>pass</v>
      </c>
      <c r="T12">
        <f t="shared" si="2"/>
        <v>363</v>
      </c>
      <c r="U12">
        <f>SUMIF(Call_Center_Data[[#Headers],[Column11]],Q13="great")</f>
        <v>0</v>
      </c>
      <c r="V12" t="s">
        <v>152</v>
      </c>
    </row>
    <row r="13" spans="1:23" x14ac:dyDescent="0.3">
      <c r="A13" t="s">
        <v>222</v>
      </c>
      <c r="B13" t="s">
        <v>213</v>
      </c>
      <c r="C13">
        <v>79323804</v>
      </c>
      <c r="D13">
        <v>5</v>
      </c>
      <c r="E13">
        <v>45297</v>
      </c>
      <c r="F13" t="s">
        <v>133</v>
      </c>
      <c r="G13" t="s">
        <v>161</v>
      </c>
      <c r="H13" t="s">
        <v>162</v>
      </c>
      <c r="J13" t="str">
        <f t="shared" si="0"/>
        <v>District Of Columbia</v>
      </c>
      <c r="K13" t="str">
        <f t="shared" si="1"/>
        <v>ARIZONA</v>
      </c>
      <c r="L13" t="str">
        <f>LOWER(Call_Center_Data[[#This Row],[Column8]])</f>
        <v>pennsylvania</v>
      </c>
      <c r="M13" t="str">
        <f>CONCATENATE(G14," ",F14," ",H14)</f>
        <v>Tucson Billing Question Arizona</v>
      </c>
      <c r="N13" t="s">
        <v>136</v>
      </c>
      <c r="O13" t="s">
        <v>137</v>
      </c>
      <c r="P13">
        <v>35</v>
      </c>
      <c r="Q13" t="str">
        <f>IF(Call_Center_Data[[#This Row],[Column11]]&gt;=20," great", " bad")</f>
        <v xml:space="preserve"> great</v>
      </c>
      <c r="R13" t="str">
        <f>IF(AND(Call_Center_Data[[#This Row],[Column11]]&gt;=30,Call_Center_Data[[#This Row],[if]]=" great"),"in","out")</f>
        <v>in</v>
      </c>
      <c r="S13" t="str">
        <f>IF(OR(Call_Center_Data[[#This Row],[if]]="great",Call_Center_Data[[#This Row],[and]]="in"),"pass","fail")</f>
        <v>pass</v>
      </c>
      <c r="T13">
        <f t="shared" si="2"/>
        <v>363</v>
      </c>
      <c r="U13">
        <f>SUMIF(Call_Center_Data[[#Headers],[Column11]],Q14="great")</f>
        <v>0</v>
      </c>
      <c r="V13" t="s">
        <v>152</v>
      </c>
    </row>
    <row r="14" spans="1:23" x14ac:dyDescent="0.3">
      <c r="A14" t="s">
        <v>223</v>
      </c>
      <c r="B14" t="s">
        <v>213</v>
      </c>
      <c r="C14">
        <v>56445305</v>
      </c>
      <c r="D14">
        <v>2</v>
      </c>
      <c r="E14">
        <v>45298</v>
      </c>
      <c r="F14" t="s">
        <v>133</v>
      </c>
      <c r="G14" t="s">
        <v>163</v>
      </c>
      <c r="H14" t="s">
        <v>164</v>
      </c>
      <c r="J14" t="str">
        <f t="shared" si="0"/>
        <v>New York</v>
      </c>
      <c r="K14" t="str">
        <f t="shared" si="1"/>
        <v>IOWA</v>
      </c>
      <c r="L14" t="str">
        <f>LOWER(Call_Center_Data[[#This Row],[Column8]])</f>
        <v>arizona</v>
      </c>
      <c r="M14" t="str">
        <f>CONCATENATE(G15," ",F15," ",H15)</f>
        <v>Des Moines Payments Iowa</v>
      </c>
      <c r="N14" t="s">
        <v>151</v>
      </c>
      <c r="O14" t="s">
        <v>137</v>
      </c>
      <c r="P14">
        <v>30</v>
      </c>
      <c r="Q14" t="str">
        <f>IF(Call_Center_Data[[#This Row],[Column11]]&gt;=20," great", " bad")</f>
        <v xml:space="preserve"> great</v>
      </c>
      <c r="R14" t="str">
        <f>IF(AND(Call_Center_Data[[#This Row],[Column11]]&gt;=30,Call_Center_Data[[#This Row],[if]]=" great"),"in","out")</f>
        <v>in</v>
      </c>
      <c r="S14" t="str">
        <f>IF(OR(Call_Center_Data[[#This Row],[if]]="great",Call_Center_Data[[#This Row],[and]]="in"),"pass","fail")</f>
        <v>pass</v>
      </c>
      <c r="T14">
        <f t="shared" si="2"/>
        <v>363</v>
      </c>
      <c r="U14">
        <f>SUMIF(Call_Center_Data[[#Headers],[Column11]],Q15="great")</f>
        <v>0</v>
      </c>
      <c r="V14" t="s">
        <v>142</v>
      </c>
    </row>
    <row r="15" spans="1:23" x14ac:dyDescent="0.3">
      <c r="A15" t="s">
        <v>224</v>
      </c>
      <c r="B15" t="s">
        <v>213</v>
      </c>
      <c r="C15">
        <v>67455825</v>
      </c>
      <c r="D15">
        <v>6</v>
      </c>
      <c r="E15">
        <v>45298</v>
      </c>
      <c r="F15" t="s">
        <v>153</v>
      </c>
      <c r="G15" t="s">
        <v>165</v>
      </c>
      <c r="H15" t="s">
        <v>166</v>
      </c>
      <c r="J15" t="str">
        <f t="shared" si="0"/>
        <v>Wisconsin</v>
      </c>
      <c r="K15" t="str">
        <f t="shared" si="1"/>
        <v>MICHIGAN</v>
      </c>
      <c r="L15" t="str">
        <f>LOWER(Call_Center_Data[[#This Row],[Column8]])</f>
        <v>iowa</v>
      </c>
      <c r="M15" t="str">
        <f>CONCATENATE(G16," ",F16," ",H16)</f>
        <v>Lansing Billing Question Michigan</v>
      </c>
      <c r="N15" t="s">
        <v>141</v>
      </c>
      <c r="O15" t="s">
        <v>137</v>
      </c>
      <c r="P15">
        <v>29</v>
      </c>
      <c r="Q15" t="str">
        <f>IF(Call_Center_Data[[#This Row],[Column11]]&gt;=20," great", " bad")</f>
        <v xml:space="preserve"> great</v>
      </c>
      <c r="R15" t="str">
        <f>IF(AND(Call_Center_Data[[#This Row],[Column11]]&gt;=30,Call_Center_Data[[#This Row],[if]]=" great"),"in","out")</f>
        <v>out</v>
      </c>
      <c r="S15" t="str">
        <f>IF(OR(Call_Center_Data[[#This Row],[if]]="great",Call_Center_Data[[#This Row],[and]]="in"),"pass","fail")</f>
        <v>fail</v>
      </c>
      <c r="T15">
        <f t="shared" si="2"/>
        <v>363</v>
      </c>
      <c r="U15">
        <f>SUMIF(Call_Center_Data[[#Headers],[Column11]],Q16="great")</f>
        <v>0</v>
      </c>
      <c r="V15" t="s">
        <v>142</v>
      </c>
    </row>
    <row r="16" spans="1:23" x14ac:dyDescent="0.3">
      <c r="A16" t="s">
        <v>225</v>
      </c>
      <c r="B16" t="s">
        <v>213</v>
      </c>
      <c r="C16">
        <v>63863025</v>
      </c>
      <c r="D16">
        <v>9</v>
      </c>
      <c r="E16">
        <v>45299</v>
      </c>
      <c r="F16" t="s">
        <v>133</v>
      </c>
      <c r="G16" t="s">
        <v>168</v>
      </c>
      <c r="H16" t="s">
        <v>169</v>
      </c>
      <c r="J16" t="str">
        <f t="shared" si="0"/>
        <v>Minnesota</v>
      </c>
      <c r="K16" t="str">
        <f t="shared" si="1"/>
        <v>DISTRICT OF COLUMBIA</v>
      </c>
      <c r="L16" t="str">
        <f>LOWER(Call_Center_Data[[#This Row],[Column8]])</f>
        <v>michigan</v>
      </c>
      <c r="M16" t="str">
        <f>CONCATENATE(G17," ",F17," ",H17)</f>
        <v>Washington Billing Question District of Columbia</v>
      </c>
      <c r="N16" t="s">
        <v>136</v>
      </c>
      <c r="O16" t="s">
        <v>137</v>
      </c>
      <c r="P16">
        <v>8</v>
      </c>
      <c r="Q16" t="str">
        <f>IF(Call_Center_Data[[#This Row],[Column11]]&gt;=20," great", " bad")</f>
        <v xml:space="preserve"> bad</v>
      </c>
      <c r="R16" t="str">
        <f>IF(AND(Call_Center_Data[[#This Row],[Column11]]&gt;=30,Call_Center_Data[[#This Row],[if]]=" great"),"in","out")</f>
        <v>out</v>
      </c>
      <c r="S16" t="str">
        <f>IF(OR(Call_Center_Data[[#This Row],[if]]="great",Call_Center_Data[[#This Row],[and]]="in"),"pass","fail")</f>
        <v>fail</v>
      </c>
      <c r="T16">
        <f t="shared" si="2"/>
        <v>363</v>
      </c>
      <c r="U16">
        <f>SUMIF(Call_Center_Data[[#Headers],[Column11]],Q17="great")</f>
        <v>0</v>
      </c>
      <c r="V16" t="s">
        <v>142</v>
      </c>
    </row>
    <row r="17" spans="1:22" x14ac:dyDescent="0.3">
      <c r="A17" t="s">
        <v>226</v>
      </c>
      <c r="B17" t="s">
        <v>213</v>
      </c>
      <c r="C17">
        <v>41608771</v>
      </c>
      <c r="D17">
        <v>3</v>
      </c>
      <c r="E17">
        <v>45299</v>
      </c>
      <c r="F17" t="s">
        <v>133</v>
      </c>
      <c r="G17" t="s">
        <v>171</v>
      </c>
      <c r="H17" t="s">
        <v>172</v>
      </c>
      <c r="J17" t="str">
        <f t="shared" si="0"/>
        <v>Colorado</v>
      </c>
      <c r="K17" t="str">
        <f t="shared" si="1"/>
        <v>NEW YORK</v>
      </c>
      <c r="L17" t="str">
        <f>LOWER(Call_Center_Data[[#This Row],[Column8]])</f>
        <v>district of columbia</v>
      </c>
      <c r="M17" t="str">
        <f>CONCATENATE(G18," ",F18," ",H18)</f>
        <v>New York City Billing Question New York</v>
      </c>
      <c r="N17" t="s">
        <v>136</v>
      </c>
      <c r="O17" t="s">
        <v>160</v>
      </c>
      <c r="P17">
        <v>35</v>
      </c>
      <c r="Q17" t="str">
        <f>IF(Call_Center_Data[[#This Row],[Column11]]&gt;=20," great", " bad")</f>
        <v xml:space="preserve"> great</v>
      </c>
      <c r="R17" t="str">
        <f>IF(AND(Call_Center_Data[[#This Row],[Column11]]&gt;=30,Call_Center_Data[[#This Row],[if]]=" great"),"in","out")</f>
        <v>in</v>
      </c>
      <c r="S17" t="str">
        <f>IF(OR(Call_Center_Data[[#This Row],[if]]="great",Call_Center_Data[[#This Row],[and]]="in"),"pass","fail")</f>
        <v>pass</v>
      </c>
      <c r="T17">
        <f t="shared" si="2"/>
        <v>363</v>
      </c>
      <c r="U17">
        <f>SUMIF(Call_Center_Data[[#Headers],[Column11]],Q18="great")</f>
        <v>0</v>
      </c>
      <c r="V17" t="s">
        <v>138</v>
      </c>
    </row>
    <row r="18" spans="1:22" x14ac:dyDescent="0.3">
      <c r="A18" t="s">
        <v>227</v>
      </c>
      <c r="B18" t="s">
        <v>213</v>
      </c>
      <c r="C18">
        <v>83918836</v>
      </c>
      <c r="D18">
        <v>7</v>
      </c>
      <c r="E18">
        <v>45299</v>
      </c>
      <c r="F18" t="s">
        <v>133</v>
      </c>
      <c r="G18" t="s">
        <v>173</v>
      </c>
      <c r="H18" t="s">
        <v>174</v>
      </c>
      <c r="J18" t="str">
        <f t="shared" si="0"/>
        <v>Kansas</v>
      </c>
      <c r="K18" t="str">
        <f t="shared" si="1"/>
        <v>WISCONSIN</v>
      </c>
      <c r="L18" t="str">
        <f>LOWER(Call_Center_Data[[#This Row],[Column8]])</f>
        <v>new york</v>
      </c>
      <c r="M18" t="str">
        <f>CONCATENATE(G19," ",F19," ",H19)</f>
        <v>Madison Billing Question Wisconsin</v>
      </c>
      <c r="N18" t="s">
        <v>151</v>
      </c>
      <c r="O18" t="s">
        <v>137</v>
      </c>
      <c r="P18">
        <v>20</v>
      </c>
      <c r="Q18" t="str">
        <f>IF(Call_Center_Data[[#This Row],[Column11]]&gt;=20," great", " bad")</f>
        <v xml:space="preserve"> great</v>
      </c>
      <c r="R18" t="str">
        <f>IF(AND(Call_Center_Data[[#This Row],[Column11]]&gt;=30,Call_Center_Data[[#This Row],[if]]=" great"),"in","out")</f>
        <v>out</v>
      </c>
      <c r="S18" t="str">
        <f>IF(OR(Call_Center_Data[[#This Row],[if]]="great",Call_Center_Data[[#This Row],[and]]="in"),"pass","fail")</f>
        <v>fail</v>
      </c>
      <c r="T18">
        <f t="shared" si="2"/>
        <v>363</v>
      </c>
      <c r="U18">
        <f>SUMIF(Call_Center_Data[[#Headers],[Column11]],Q19="great")</f>
        <v>0</v>
      </c>
      <c r="V18" t="s">
        <v>152</v>
      </c>
    </row>
    <row r="19" spans="1:22" x14ac:dyDescent="0.3">
      <c r="A19" t="s">
        <v>228</v>
      </c>
      <c r="B19" t="s">
        <v>213</v>
      </c>
      <c r="C19">
        <v>83950486</v>
      </c>
      <c r="D19">
        <v>3</v>
      </c>
      <c r="E19">
        <v>45300</v>
      </c>
      <c r="F19" t="s">
        <v>133</v>
      </c>
      <c r="G19" t="s">
        <v>175</v>
      </c>
      <c r="H19" t="s">
        <v>176</v>
      </c>
      <c r="J19" t="str">
        <f t="shared" si="0"/>
        <v>Utah</v>
      </c>
      <c r="K19" t="str">
        <f t="shared" si="1"/>
        <v>MINNESOTA</v>
      </c>
      <c r="L19" t="str">
        <f>LOWER(Call_Center_Data[[#This Row],[Column8]])</f>
        <v>wisconsin</v>
      </c>
      <c r="M19" t="str">
        <f>CONCATENATE(G20," ",F20," ",H20)</f>
        <v>Minneapolis Billing Question Minnesota</v>
      </c>
      <c r="N19" t="s">
        <v>151</v>
      </c>
      <c r="O19" t="s">
        <v>137</v>
      </c>
      <c r="P19">
        <v>31</v>
      </c>
      <c r="Q19" t="str">
        <f>IF(Call_Center_Data[[#This Row],[Column11]]&gt;=20," great", " bad")</f>
        <v xml:space="preserve"> great</v>
      </c>
      <c r="R19" t="str">
        <f>IF(AND(Call_Center_Data[[#This Row],[Column11]]&gt;=30,Call_Center_Data[[#This Row],[if]]=" great"),"in","out")</f>
        <v>in</v>
      </c>
      <c r="S19" t="str">
        <f>IF(OR(Call_Center_Data[[#This Row],[if]]="great",Call_Center_Data[[#This Row],[and]]="in"),"pass","fail")</f>
        <v>pass</v>
      </c>
      <c r="T19">
        <f t="shared" si="2"/>
        <v>363</v>
      </c>
      <c r="U19">
        <f>SUMIF(Call_Center_Data[[#Headers],[Column11]],Q20="great")</f>
        <v>0</v>
      </c>
      <c r="V19" t="s">
        <v>142</v>
      </c>
    </row>
    <row r="20" spans="1:22" x14ac:dyDescent="0.3">
      <c r="A20" t="s">
        <v>229</v>
      </c>
      <c r="B20" t="s">
        <v>213</v>
      </c>
      <c r="C20">
        <v>18960031</v>
      </c>
      <c r="D20">
        <v>4</v>
      </c>
      <c r="E20">
        <v>45302</v>
      </c>
      <c r="F20" t="s">
        <v>133</v>
      </c>
      <c r="G20" t="s">
        <v>179</v>
      </c>
      <c r="H20" t="s">
        <v>180</v>
      </c>
      <c r="J20" t="str">
        <f t="shared" si="0"/>
        <v>Rhode Island</v>
      </c>
      <c r="K20" t="str">
        <f t="shared" si="1"/>
        <v>COLORADO</v>
      </c>
      <c r="L20" t="str">
        <f>LOWER(Call_Center_Data[[#This Row],[Column8]])</f>
        <v>minnesota</v>
      </c>
      <c r="M20" t="str">
        <f>CONCATENATE(G21," ",F21," ",H21)</f>
        <v>Colorado Springs Billing Question Colorado</v>
      </c>
      <c r="N20" t="s">
        <v>136</v>
      </c>
      <c r="O20" t="s">
        <v>137</v>
      </c>
      <c r="P20">
        <v>7</v>
      </c>
      <c r="Q20" t="str">
        <f>IF(Call_Center_Data[[#This Row],[Column11]]&gt;=20," great", " bad")</f>
        <v xml:space="preserve"> bad</v>
      </c>
      <c r="R20" t="str">
        <f>IF(AND(Call_Center_Data[[#This Row],[Column11]]&gt;=30,Call_Center_Data[[#This Row],[if]]=" great"),"in","out")</f>
        <v>out</v>
      </c>
      <c r="S20" t="str">
        <f>IF(OR(Call_Center_Data[[#This Row],[if]]="great",Call_Center_Data[[#This Row],[and]]="in"),"pass","fail")</f>
        <v>fail</v>
      </c>
      <c r="T20">
        <f t="shared" si="2"/>
        <v>363</v>
      </c>
      <c r="U20">
        <f>SUMIF(Call_Center_Data[[#Headers],[Column11]],Q21="great")</f>
        <v>0</v>
      </c>
      <c r="V20" t="s">
        <v>152</v>
      </c>
    </row>
    <row r="21" spans="1:22" x14ac:dyDescent="0.3">
      <c r="A21" t="s">
        <v>230</v>
      </c>
      <c r="B21" t="s">
        <v>213</v>
      </c>
      <c r="C21">
        <v>48770048</v>
      </c>
      <c r="D21">
        <v>4</v>
      </c>
      <c r="E21">
        <v>45303</v>
      </c>
      <c r="F21" t="s">
        <v>133</v>
      </c>
      <c r="G21" t="s">
        <v>181</v>
      </c>
      <c r="H21" t="s">
        <v>182</v>
      </c>
      <c r="J21" t="str">
        <f t="shared" si="0"/>
        <v>Virginia</v>
      </c>
      <c r="K21" t="str">
        <f t="shared" si="1"/>
        <v>KANSAS</v>
      </c>
      <c r="L21" t="str">
        <f>LOWER(Call_Center_Data[[#This Row],[Column8]])</f>
        <v>colorado</v>
      </c>
      <c r="M21" t="str">
        <f>CONCATENATE(G22," ",F22," ",H22)</f>
        <v>Shawnee Mission Billing Question Kansas</v>
      </c>
      <c r="N21" t="s">
        <v>148</v>
      </c>
      <c r="O21" t="s">
        <v>137</v>
      </c>
      <c r="P21">
        <v>34</v>
      </c>
      <c r="Q21" t="str">
        <f>IF(Call_Center_Data[[#This Row],[Column11]]&gt;=20," great", " bad")</f>
        <v xml:space="preserve"> great</v>
      </c>
      <c r="R21" t="str">
        <f>IF(AND(Call_Center_Data[[#This Row],[Column11]]&gt;=30,Call_Center_Data[[#This Row],[if]]=" great"),"in","out")</f>
        <v>in</v>
      </c>
      <c r="S21" t="str">
        <f>IF(OR(Call_Center_Data[[#This Row],[if]]="great",Call_Center_Data[[#This Row],[and]]="in"),"pass","fail")</f>
        <v>pass</v>
      </c>
      <c r="T21">
        <f t="shared" si="2"/>
        <v>363</v>
      </c>
      <c r="U21">
        <f>SUMIF(Call_Center_Data[[#Headers],[Column11]],Q22="great")</f>
        <v>0</v>
      </c>
      <c r="V21" t="s">
        <v>142</v>
      </c>
    </row>
    <row r="22" spans="1:22" x14ac:dyDescent="0.3">
      <c r="A22" t="s">
        <v>231</v>
      </c>
      <c r="B22" t="s">
        <v>213</v>
      </c>
      <c r="C22">
        <v>3236134</v>
      </c>
      <c r="D22">
        <v>6</v>
      </c>
      <c r="E22">
        <v>45304</v>
      </c>
      <c r="F22" t="s">
        <v>133</v>
      </c>
      <c r="G22" t="s">
        <v>183</v>
      </c>
      <c r="H22" t="s">
        <v>184</v>
      </c>
      <c r="J22" t="str">
        <f t="shared" si="0"/>
        <v>Nevada</v>
      </c>
      <c r="K22" t="str">
        <f t="shared" si="1"/>
        <v>UTAH</v>
      </c>
      <c r="L22" t="str">
        <f>LOWER(Call_Center_Data[[#This Row],[Column8]])</f>
        <v>kansas</v>
      </c>
      <c r="M22" t="str">
        <f>CONCATENATE(G23," ",F23," ",H23)</f>
        <v>Salt Lake City Billing Question Utah</v>
      </c>
      <c r="N22" t="s">
        <v>141</v>
      </c>
      <c r="O22" t="s">
        <v>137</v>
      </c>
      <c r="P22">
        <v>39</v>
      </c>
      <c r="Q22" t="str">
        <f>IF(Call_Center_Data[[#This Row],[Column11]]&gt;=20," great", " bad")</f>
        <v xml:space="preserve"> great</v>
      </c>
      <c r="R22" t="str">
        <f>IF(AND(Call_Center_Data[[#This Row],[Column11]]&gt;=30,Call_Center_Data[[#This Row],[if]]=" great"),"in","out")</f>
        <v>in</v>
      </c>
      <c r="S22" t="str">
        <f>IF(OR(Call_Center_Data[[#This Row],[if]]="great",Call_Center_Data[[#This Row],[and]]="in"),"pass","fail")</f>
        <v>pass</v>
      </c>
      <c r="T22">
        <f t="shared" si="2"/>
        <v>363</v>
      </c>
      <c r="U22">
        <f>SUMIF(Call_Center_Data[[#Headers],[Column11]],Q23="great")</f>
        <v>0</v>
      </c>
      <c r="V22" t="s">
        <v>152</v>
      </c>
    </row>
    <row r="23" spans="1:22" x14ac:dyDescent="0.3">
      <c r="A23" t="s">
        <v>232</v>
      </c>
      <c r="B23" t="s">
        <v>213</v>
      </c>
      <c r="C23">
        <v>62237096</v>
      </c>
      <c r="D23">
        <v>3</v>
      </c>
      <c r="E23">
        <v>45308</v>
      </c>
      <c r="F23" t="s">
        <v>133</v>
      </c>
      <c r="G23" t="s">
        <v>186</v>
      </c>
      <c r="H23" t="s">
        <v>187</v>
      </c>
      <c r="J23" t="str">
        <f t="shared" si="0"/>
        <v>Illinois</v>
      </c>
      <c r="K23" t="str">
        <f t="shared" si="1"/>
        <v>RHODE ISLAND</v>
      </c>
      <c r="L23" t="str">
        <f>LOWER(Call_Center_Data[[#This Row],[Column8]])</f>
        <v>utah</v>
      </c>
      <c r="M23" t="str">
        <f>CONCATENATE(G24," ",F24," ",H24)</f>
        <v>Providence Billing Question Rhode Island</v>
      </c>
      <c r="N23" t="s">
        <v>151</v>
      </c>
      <c r="O23" t="s">
        <v>149</v>
      </c>
      <c r="P23">
        <v>14</v>
      </c>
      <c r="Q23" t="str">
        <f>IF(Call_Center_Data[[#This Row],[Column11]]&gt;=20," great", " bad")</f>
        <v xml:space="preserve"> bad</v>
      </c>
      <c r="R23" t="str">
        <f>IF(AND(Call_Center_Data[[#This Row],[Column11]]&gt;=30,Call_Center_Data[[#This Row],[if]]=" great"),"in","out")</f>
        <v>out</v>
      </c>
      <c r="S23" t="str">
        <f>IF(OR(Call_Center_Data[[#This Row],[if]]="great",Call_Center_Data[[#This Row],[and]]="in"),"pass","fail")</f>
        <v>fail</v>
      </c>
      <c r="T23">
        <f t="shared" si="2"/>
        <v>363</v>
      </c>
      <c r="U23">
        <f>SUMIF(Call_Center_Data[[#Headers],[Column11]],Q24="great")</f>
        <v>0</v>
      </c>
      <c r="V23" t="s">
        <v>142</v>
      </c>
    </row>
    <row r="24" spans="1:22" x14ac:dyDescent="0.3">
      <c r="A24" t="s">
        <v>233</v>
      </c>
      <c r="B24" t="s">
        <v>213</v>
      </c>
      <c r="C24">
        <v>88855863</v>
      </c>
      <c r="D24">
        <v>7</v>
      </c>
      <c r="E24">
        <v>45310</v>
      </c>
      <c r="F24" t="s">
        <v>133</v>
      </c>
      <c r="G24" t="s">
        <v>188</v>
      </c>
      <c r="H24" t="s">
        <v>189</v>
      </c>
      <c r="J24" t="str">
        <f t="shared" si="0"/>
        <v>Indiana</v>
      </c>
      <c r="K24" t="str">
        <f t="shared" si="1"/>
        <v>VIRGINIA</v>
      </c>
      <c r="L24" t="str">
        <f>LOWER(Call_Center_Data[[#This Row],[Column8]])</f>
        <v>rhode island</v>
      </c>
      <c r="M24" t="str">
        <f>CONCATENATE(G25," ",F25," ",H25)</f>
        <v>Richmond Payments Virginia</v>
      </c>
      <c r="N24" t="s">
        <v>148</v>
      </c>
      <c r="O24" t="s">
        <v>149</v>
      </c>
      <c r="P24">
        <v>41</v>
      </c>
      <c r="Q24" t="str">
        <f>IF(Call_Center_Data[[#This Row],[Column11]]&gt;=20," great", " bad")</f>
        <v xml:space="preserve"> great</v>
      </c>
      <c r="R24" t="str">
        <f>IF(AND(Call_Center_Data[[#This Row],[Column11]]&gt;=30,Call_Center_Data[[#This Row],[if]]=" great"),"in","out")</f>
        <v>in</v>
      </c>
      <c r="S24" t="str">
        <f>IF(OR(Call_Center_Data[[#This Row],[if]]="great",Call_Center_Data[[#This Row],[and]]="in"),"pass","fail")</f>
        <v>pass</v>
      </c>
      <c r="T24">
        <f t="shared" si="2"/>
        <v>363</v>
      </c>
      <c r="U24">
        <f>SUMIF(Call_Center_Data[[#Headers],[Column11]],Q25="great")</f>
        <v>0</v>
      </c>
      <c r="V24" t="s">
        <v>142</v>
      </c>
    </row>
    <row r="25" spans="1:22" x14ac:dyDescent="0.3">
      <c r="A25" t="s">
        <v>234</v>
      </c>
      <c r="B25" t="s">
        <v>213</v>
      </c>
      <c r="C25">
        <v>90006976</v>
      </c>
      <c r="D25">
        <v>4</v>
      </c>
      <c r="E25">
        <v>45310</v>
      </c>
      <c r="F25" t="s">
        <v>153</v>
      </c>
      <c r="G25" t="s">
        <v>190</v>
      </c>
      <c r="H25" t="s">
        <v>191</v>
      </c>
      <c r="J25" t="str">
        <f t="shared" si="0"/>
        <v>Missouri</v>
      </c>
      <c r="K25" t="str">
        <f t="shared" si="1"/>
        <v>NEVADA</v>
      </c>
      <c r="L25" t="str">
        <f>LOWER(Call_Center_Data[[#This Row],[Column8]])</f>
        <v>virginia</v>
      </c>
      <c r="M25" t="str">
        <f>CONCATENATE(G26," ",F26," ",H26)</f>
        <v>Las Vegas Payments Nevada</v>
      </c>
      <c r="N25" t="s">
        <v>141</v>
      </c>
      <c r="O25" t="s">
        <v>137</v>
      </c>
      <c r="P25">
        <v>27</v>
      </c>
      <c r="Q25" t="str">
        <f>IF(Call_Center_Data[[#This Row],[Column11]]&gt;=20," great", " bad")</f>
        <v xml:space="preserve"> great</v>
      </c>
      <c r="R25" t="str">
        <f>IF(AND(Call_Center_Data[[#This Row],[Column11]]&gt;=30,Call_Center_Data[[#This Row],[if]]=" great"),"in","out")</f>
        <v>out</v>
      </c>
      <c r="S25" t="str">
        <f>IF(OR(Call_Center_Data[[#This Row],[if]]="great",Call_Center_Data[[#This Row],[and]]="in"),"pass","fail")</f>
        <v>fail</v>
      </c>
      <c r="T25">
        <f t="shared" si="2"/>
        <v>363</v>
      </c>
      <c r="U25">
        <f>SUMIF(Call_Center_Data[[#Headers],[Column11]],Q26="great")</f>
        <v>0</v>
      </c>
      <c r="V25" t="s">
        <v>152</v>
      </c>
    </row>
    <row r="26" spans="1:22" x14ac:dyDescent="0.3">
      <c r="A26" t="s">
        <v>235</v>
      </c>
      <c r="B26" t="s">
        <v>213</v>
      </c>
      <c r="C26">
        <v>37391425</v>
      </c>
      <c r="D26">
        <v>3</v>
      </c>
      <c r="E26">
        <v>45312</v>
      </c>
      <c r="F26" t="s">
        <v>153</v>
      </c>
      <c r="G26" t="s">
        <v>192</v>
      </c>
      <c r="H26" t="s">
        <v>193</v>
      </c>
      <c r="J26" t="str">
        <f t="shared" si="0"/>
        <v>Louisiana</v>
      </c>
      <c r="K26" t="str">
        <f t="shared" si="1"/>
        <v>ILLINOIS</v>
      </c>
      <c r="L26" t="str">
        <f>LOWER(Call_Center_Data[[#This Row],[Column8]])</f>
        <v>nevada</v>
      </c>
      <c r="M26" t="str">
        <f>CONCATENATE(G27," ",F27," ",H27)</f>
        <v>Chicago Billing Question Illinois</v>
      </c>
      <c r="N26" t="s">
        <v>141</v>
      </c>
      <c r="O26" t="s">
        <v>160</v>
      </c>
      <c r="P26">
        <v>17</v>
      </c>
      <c r="Q26" t="str">
        <f>IF(Call_Center_Data[[#This Row],[Column11]]&gt;=20," great", " bad")</f>
        <v xml:space="preserve"> bad</v>
      </c>
      <c r="R26" t="str">
        <f>IF(AND(Call_Center_Data[[#This Row],[Column11]]&gt;=30,Call_Center_Data[[#This Row],[if]]=" great"),"in","out")</f>
        <v>out</v>
      </c>
      <c r="S26" t="str">
        <f>IF(OR(Call_Center_Data[[#This Row],[if]]="great",Call_Center_Data[[#This Row],[and]]="in"),"pass","fail")</f>
        <v>fail</v>
      </c>
      <c r="T26">
        <f t="shared" si="2"/>
        <v>363</v>
      </c>
      <c r="U26">
        <f>SUMIF(Call_Center_Data[[#Headers],[Column11]],Q27="great")</f>
        <v>0</v>
      </c>
      <c r="V26" t="s">
        <v>152</v>
      </c>
    </row>
    <row r="27" spans="1:22" x14ac:dyDescent="0.3">
      <c r="A27" t="s">
        <v>236</v>
      </c>
      <c r="B27" t="s">
        <v>213</v>
      </c>
      <c r="C27">
        <v>8099835</v>
      </c>
      <c r="D27">
        <v>6</v>
      </c>
      <c r="E27">
        <v>45314</v>
      </c>
      <c r="F27" t="s">
        <v>133</v>
      </c>
      <c r="G27" t="s">
        <v>194</v>
      </c>
      <c r="H27" t="s">
        <v>195</v>
      </c>
      <c r="J27" t="str">
        <f t="shared" si="0"/>
        <v>Ohio</v>
      </c>
      <c r="K27" t="str">
        <f t="shared" si="1"/>
        <v>INDIANA</v>
      </c>
      <c r="L27" t="str">
        <f>LOWER(Call_Center_Data[[#This Row],[Column8]])</f>
        <v>illinois</v>
      </c>
      <c r="M27" t="str">
        <f>CONCATENATE(G28," ",F28," ",H28)</f>
        <v>Fort Wayne Service Outage Indiana</v>
      </c>
      <c r="N27" t="s">
        <v>136</v>
      </c>
      <c r="O27" t="s">
        <v>137</v>
      </c>
      <c r="P27">
        <v>13</v>
      </c>
      <c r="Q27" t="str">
        <f>IF(Call_Center_Data[[#This Row],[Column11]]&gt;=20," great", " bad")</f>
        <v xml:space="preserve"> bad</v>
      </c>
      <c r="R27" t="str">
        <f>IF(AND(Call_Center_Data[[#This Row],[Column11]]&gt;=30,Call_Center_Data[[#This Row],[if]]=" great"),"in","out")</f>
        <v>out</v>
      </c>
      <c r="S27" t="str">
        <f>IF(OR(Call_Center_Data[[#This Row],[if]]="great",Call_Center_Data[[#This Row],[and]]="in"),"pass","fail")</f>
        <v>fail</v>
      </c>
      <c r="T27">
        <f t="shared" si="2"/>
        <v>363</v>
      </c>
      <c r="U27">
        <f>SUMIF(Call_Center_Data[[#Headers],[Column11]],Q28="great")</f>
        <v>0</v>
      </c>
      <c r="V27" t="s">
        <v>152</v>
      </c>
    </row>
    <row r="28" spans="1:22" x14ac:dyDescent="0.3">
      <c r="A28" t="s">
        <v>237</v>
      </c>
      <c r="B28" t="s">
        <v>213</v>
      </c>
      <c r="C28">
        <v>92635583</v>
      </c>
      <c r="D28">
        <v>8</v>
      </c>
      <c r="E28">
        <v>45315</v>
      </c>
      <c r="F28" t="s">
        <v>177</v>
      </c>
      <c r="G28" t="s">
        <v>196</v>
      </c>
      <c r="H28" t="s">
        <v>197</v>
      </c>
      <c r="J28" t="str">
        <f t="shared" si="0"/>
        <v>Georgia</v>
      </c>
      <c r="K28" t="str">
        <f t="shared" si="1"/>
        <v>MISSOURI</v>
      </c>
      <c r="L28" t="str">
        <f>LOWER(Call_Center_Data[[#This Row],[Column8]])</f>
        <v>indiana</v>
      </c>
      <c r="M28" t="str">
        <f>CONCATENATE(G29," ",F29," ",H29)</f>
        <v>Kansas City Service Outage Missouri</v>
      </c>
      <c r="N28" t="s">
        <v>136</v>
      </c>
      <c r="O28" t="s">
        <v>137</v>
      </c>
      <c r="P28">
        <v>42</v>
      </c>
      <c r="Q28" t="str">
        <f>IF(Call_Center_Data[[#This Row],[Column11]]&gt;=20," great", " bad")</f>
        <v xml:space="preserve"> great</v>
      </c>
      <c r="R28" t="str">
        <f>IF(AND(Call_Center_Data[[#This Row],[Column11]]&gt;=30,Call_Center_Data[[#This Row],[if]]=" great"),"in","out")</f>
        <v>in</v>
      </c>
      <c r="S28" t="str">
        <f>IF(OR(Call_Center_Data[[#This Row],[if]]="great",Call_Center_Data[[#This Row],[and]]="in"),"pass","fail")</f>
        <v>pass</v>
      </c>
      <c r="T28">
        <f t="shared" si="2"/>
        <v>363</v>
      </c>
      <c r="U28">
        <f>SUMIF(Call_Center_Data[[#Headers],[Column11]],Q29="great")</f>
        <v>0</v>
      </c>
      <c r="V28" t="s">
        <v>142</v>
      </c>
    </row>
    <row r="29" spans="1:22" x14ac:dyDescent="0.3">
      <c r="A29" t="s">
        <v>238</v>
      </c>
      <c r="B29" t="s">
        <v>213</v>
      </c>
      <c r="C29">
        <v>87331404</v>
      </c>
      <c r="D29">
        <v>8</v>
      </c>
      <c r="E29">
        <v>45315</v>
      </c>
      <c r="F29" t="s">
        <v>177</v>
      </c>
      <c r="G29" t="s">
        <v>198</v>
      </c>
      <c r="H29" t="s">
        <v>199</v>
      </c>
      <c r="J29" t="str">
        <f t="shared" si="0"/>
        <v/>
      </c>
      <c r="K29" t="str">
        <f t="shared" si="1"/>
        <v>LOUISIANA</v>
      </c>
      <c r="L29" t="str">
        <f>LOWER(Call_Center_Data[[#This Row],[Column8]])</f>
        <v>missouri</v>
      </c>
      <c r="M29" t="str">
        <f>CONCATENATE(G30," ",F30," ",H30)</f>
        <v>Baton Rouge Billing Question Louisiana</v>
      </c>
      <c r="N29" t="s">
        <v>136</v>
      </c>
      <c r="O29" t="s">
        <v>137</v>
      </c>
      <c r="P29">
        <v>7</v>
      </c>
      <c r="Q29" t="str">
        <f>IF(Call_Center_Data[[#This Row],[Column11]]&gt;=20," great", " bad")</f>
        <v xml:space="preserve"> bad</v>
      </c>
      <c r="R29" t="str">
        <f>IF(AND(Call_Center_Data[[#This Row],[Column11]]&gt;=30,Call_Center_Data[[#This Row],[if]]=" great"),"in","out")</f>
        <v>out</v>
      </c>
      <c r="S29" t="str">
        <f>IF(OR(Call_Center_Data[[#This Row],[if]]="great",Call_Center_Data[[#This Row],[and]]="in"),"pass","fail")</f>
        <v>fail</v>
      </c>
      <c r="T29">
        <f t="shared" si="2"/>
        <v>363</v>
      </c>
      <c r="U29">
        <f>SUMIF(Call_Center_Data[[#Headers],[Column11]],Q30="great")</f>
        <v>0</v>
      </c>
      <c r="V29" t="s">
        <v>152</v>
      </c>
    </row>
    <row r="30" spans="1:22" x14ac:dyDescent="0.3">
      <c r="A30" t="s">
        <v>239</v>
      </c>
      <c r="B30" t="s">
        <v>213</v>
      </c>
      <c r="C30">
        <v>4214019</v>
      </c>
      <c r="D30">
        <v>7</v>
      </c>
      <c r="E30">
        <v>45316</v>
      </c>
      <c r="F30" t="s">
        <v>133</v>
      </c>
      <c r="G30" t="s">
        <v>200</v>
      </c>
      <c r="H30" t="s">
        <v>201</v>
      </c>
      <c r="J30" t="str">
        <f t="shared" si="0"/>
        <v/>
      </c>
      <c r="K30" t="str">
        <f t="shared" si="1"/>
        <v>OHIO</v>
      </c>
      <c r="L30" t="str">
        <f>LOWER(Call_Center_Data[[#This Row],[Column8]])</f>
        <v>louisiana</v>
      </c>
      <c r="M30" t="str">
        <f>CONCATENATE(G31," ",F31," ",H31)</f>
        <v>Columbus Billing Question Ohio</v>
      </c>
      <c r="N30" t="s">
        <v>141</v>
      </c>
      <c r="O30" t="s">
        <v>137</v>
      </c>
      <c r="P30">
        <v>8</v>
      </c>
      <c r="Q30" t="str">
        <f>IF(Call_Center_Data[[#This Row],[Column11]]&gt;=20," great", " bad")</f>
        <v xml:space="preserve"> bad</v>
      </c>
      <c r="R30" t="str">
        <f>IF(AND(Call_Center_Data[[#This Row],[Column11]]&gt;=30,Call_Center_Data[[#This Row],[if]]=" great"),"in","out")</f>
        <v>out</v>
      </c>
      <c r="S30" t="str">
        <f>IF(OR(Call_Center_Data[[#This Row],[if]]="great",Call_Center_Data[[#This Row],[and]]="in"),"pass","fail")</f>
        <v>fail</v>
      </c>
      <c r="T30">
        <f t="shared" si="2"/>
        <v>363</v>
      </c>
      <c r="U30">
        <f>SUMIF(Call_Center_Data[[#Headers],[Column11]],Q31="great")</f>
        <v>0</v>
      </c>
      <c r="V30" t="s">
        <v>152</v>
      </c>
    </row>
    <row r="31" spans="1:22" x14ac:dyDescent="0.3">
      <c r="A31" t="s">
        <v>240</v>
      </c>
      <c r="B31" t="s">
        <v>213</v>
      </c>
      <c r="C31">
        <v>31842577</v>
      </c>
      <c r="D31">
        <v>3</v>
      </c>
      <c r="E31">
        <v>45321</v>
      </c>
      <c r="F31" t="s">
        <v>133</v>
      </c>
      <c r="G31" t="s">
        <v>202</v>
      </c>
      <c r="H31" t="s">
        <v>203</v>
      </c>
      <c r="J31" t="str">
        <f t="shared" si="0"/>
        <v/>
      </c>
      <c r="K31" t="str">
        <f t="shared" si="1"/>
        <v>GEORGIA</v>
      </c>
      <c r="L31" t="str">
        <f>LOWER(Call_Center_Data[[#This Row],[Column8]])</f>
        <v>ohio</v>
      </c>
      <c r="M31" t="str">
        <f>CONCATENATE(G32," ",F32," ",H32)</f>
        <v>Columbus Billing Question Georgia</v>
      </c>
      <c r="N31" t="s">
        <v>151</v>
      </c>
      <c r="O31" t="s">
        <v>137</v>
      </c>
      <c r="P31">
        <v>19</v>
      </c>
      <c r="Q31" t="str">
        <f>IF(Call_Center_Data[[#This Row],[Column11]]&gt;=20," great", " bad")</f>
        <v xml:space="preserve"> bad</v>
      </c>
      <c r="R31" t="str">
        <f>IF(AND(Call_Center_Data[[#This Row],[Column11]]&gt;=30,Call_Center_Data[[#This Row],[if]]=" great"),"in","out")</f>
        <v>out</v>
      </c>
      <c r="S31" t="str">
        <f>IF(OR(Call_Center_Data[[#This Row],[if]]="great",Call_Center_Data[[#This Row],[and]]="in"),"pass","fail")</f>
        <v>fail</v>
      </c>
      <c r="T31">
        <f t="shared" si="2"/>
        <v>363</v>
      </c>
      <c r="U31">
        <f>SUMIF(Call_Center_Data[[#Headers],[Column11]],Q32="great")</f>
        <v>0</v>
      </c>
      <c r="V31" t="s">
        <v>152</v>
      </c>
    </row>
    <row r="32" spans="1:22" x14ac:dyDescent="0.3">
      <c r="A32" t="s">
        <v>241</v>
      </c>
      <c r="B32" t="s">
        <v>213</v>
      </c>
      <c r="C32">
        <v>81071725</v>
      </c>
      <c r="D32">
        <v>3</v>
      </c>
      <c r="E32">
        <v>45322</v>
      </c>
      <c r="F32" t="s">
        <v>133</v>
      </c>
      <c r="G32" t="s">
        <v>202</v>
      </c>
      <c r="H32" t="s">
        <v>204</v>
      </c>
      <c r="J32" t="str">
        <f t="shared" si="0"/>
        <v/>
      </c>
      <c r="K32" t="str">
        <f t="shared" si="1"/>
        <v/>
      </c>
      <c r="L32" t="str">
        <f>LOWER(Call_Center_Data[[#This Row],[Column8]])</f>
        <v>georgia</v>
      </c>
      <c r="M32" t="str">
        <f>CONCATENATE(G33," ",F33," ",H33)</f>
        <v xml:space="preserve">  </v>
      </c>
      <c r="N32" t="s">
        <v>151</v>
      </c>
      <c r="O32" t="s">
        <v>137</v>
      </c>
      <c r="P32">
        <v>23</v>
      </c>
      <c r="Q32" t="str">
        <f>IF(Call_Center_Data[[#This Row],[Column11]]&gt;=20," great", " bad")</f>
        <v xml:space="preserve"> great</v>
      </c>
      <c r="R32" t="str">
        <f>IF(AND(Call_Center_Data[[#This Row],[Column11]]&gt;=30,Call_Center_Data[[#This Row],[if]]=" great"),"in","out")</f>
        <v>out</v>
      </c>
      <c r="S32" t="str">
        <f>IF(OR(Call_Center_Data[[#This Row],[if]]="great",Call_Center_Data[[#This Row],[and]]="in"),"pass","fail")</f>
        <v>fail</v>
      </c>
      <c r="T32">
        <f t="shared" si="2"/>
        <v>363</v>
      </c>
      <c r="U32">
        <f>SUMIF(Call_Center_Data[[#Headers],[Column11]],Q33="great")</f>
        <v>0</v>
      </c>
      <c r="V32" t="s">
        <v>142</v>
      </c>
    </row>
    <row r="33" spans="1:22" x14ac:dyDescent="0.3">
      <c r="A33" s="2"/>
      <c r="B33" s="2"/>
      <c r="C33" s="2"/>
      <c r="F33" s="2"/>
      <c r="G33" s="2"/>
      <c r="H33" s="2"/>
      <c r="I33" s="2"/>
      <c r="J33" s="2" t="str">
        <f t="shared" si="0"/>
        <v/>
      </c>
      <c r="K33" s="2" t="str">
        <f t="shared" si="1"/>
        <v/>
      </c>
      <c r="L33" s="2" t="str">
        <f>LOWER(Call_Center_Data[[#This Row],[Column8]])</f>
        <v/>
      </c>
      <c r="M33" s="2" t="str">
        <f>CONCATENATE(G34," ",F34," ",H34)</f>
        <v xml:space="preserve">  </v>
      </c>
      <c r="N33" s="2"/>
      <c r="O33" s="2"/>
      <c r="Q33" t="str">
        <f>IF(Call_Center_Data[[#This Row],[Column11]]&gt;=20," great", " bad")</f>
        <v xml:space="preserve"> bad</v>
      </c>
      <c r="R33" t="str">
        <f>IF(AND(Call_Center_Data[[#This Row],[Column11]]&gt;=30,Call_Center_Data[[#This Row],[if]]=" great"),"in","out")</f>
        <v>out</v>
      </c>
      <c r="S33" t="str">
        <f>IF(OR(Call_Center_Data[[#This Row],[if]]="great",Call_Center_Data[[#This Row],[and]]="in"),"pass","fail")</f>
        <v>fail</v>
      </c>
      <c r="T33">
        <f t="shared" si="2"/>
        <v>363</v>
      </c>
      <c r="U33">
        <f>SUMIF(Call_Center_Data[[#Headers],[Column11]],Q34="great")</f>
        <v>0</v>
      </c>
      <c r="V33" s="2"/>
    </row>
    <row r="34" spans="1:22" x14ac:dyDescent="0.3">
      <c r="A34" s="2"/>
      <c r="B34" s="2"/>
      <c r="C34" s="2"/>
      <c r="F34" s="2"/>
      <c r="G34" s="2"/>
      <c r="H34" s="2"/>
      <c r="I34" s="2"/>
      <c r="J34" s="2" t="str">
        <f t="shared" ref="J34:J65" si="3">PROPER(H38)</f>
        <v/>
      </c>
      <c r="K34" s="2" t="str">
        <f t="shared" ref="K34:K65" si="4">UPPER(H35)</f>
        <v/>
      </c>
      <c r="L34" s="2" t="str">
        <f>LOWER(Call_Center_Data[[#This Row],[Column8]])</f>
        <v/>
      </c>
      <c r="M34" s="2" t="str">
        <f>CONCATENATE(G35," ",F35," ",H35)</f>
        <v xml:space="preserve">  </v>
      </c>
      <c r="N34" s="2"/>
      <c r="O34" s="2"/>
      <c r="Q34" t="str">
        <f>IF(Call_Center_Data[[#This Row],[Column11]]&gt;=20," great", " bad")</f>
        <v xml:space="preserve"> bad</v>
      </c>
      <c r="R34" t="str">
        <f>IF(AND(Call_Center_Data[[#This Row],[Column11]]&gt;=30,Call_Center_Data[[#This Row],[if]]=" great"),"in","out")</f>
        <v>out</v>
      </c>
      <c r="S34" t="str">
        <f>IF(OR(Call_Center_Data[[#This Row],[if]]="great",Call_Center_Data[[#This Row],[and]]="in"),"pass","fail")</f>
        <v>fail</v>
      </c>
      <c r="T34">
        <f t="shared" ref="T34:T65" si="5">SUMIF(S:S,"pass",P:P)</f>
        <v>363</v>
      </c>
      <c r="U34">
        <f>SUMIF(Call_Center_Data[[#Headers],[Column11]],Q35="great")</f>
        <v>0</v>
      </c>
      <c r="V34" s="2"/>
    </row>
    <row r="35" spans="1:22" x14ac:dyDescent="0.3">
      <c r="A35" s="2"/>
      <c r="B35" s="2"/>
      <c r="C35" s="2"/>
      <c r="F35" s="2"/>
      <c r="G35" s="2"/>
      <c r="H35" s="2"/>
      <c r="I35" s="2"/>
      <c r="J35" s="2" t="str">
        <f t="shared" si="3"/>
        <v/>
      </c>
      <c r="K35" s="2" t="str">
        <f t="shared" si="4"/>
        <v/>
      </c>
      <c r="L35" s="2" t="str">
        <f>LOWER(Call_Center_Data[[#This Row],[Column8]])</f>
        <v/>
      </c>
      <c r="M35" s="2" t="str">
        <f>CONCATENATE(G36," ",F36," ",H36)</f>
        <v xml:space="preserve">  </v>
      </c>
      <c r="N35" s="2"/>
      <c r="O35" s="2"/>
      <c r="Q35" t="str">
        <f>IF(Call_Center_Data[[#This Row],[Column11]]&gt;=20," great", " bad")</f>
        <v xml:space="preserve"> bad</v>
      </c>
      <c r="R35" t="str">
        <f>IF(AND(Call_Center_Data[[#This Row],[Column11]]&gt;=30,Call_Center_Data[[#This Row],[if]]=" great"),"in","out")</f>
        <v>out</v>
      </c>
      <c r="S35" t="str">
        <f>IF(OR(Call_Center_Data[[#This Row],[if]]="great",Call_Center_Data[[#This Row],[and]]="in"),"pass","fail")</f>
        <v>fail</v>
      </c>
      <c r="T35">
        <f t="shared" si="5"/>
        <v>363</v>
      </c>
      <c r="U35">
        <f>SUMIF(Call_Center_Data[[#Headers],[Column11]],Q36="great")</f>
        <v>0</v>
      </c>
      <c r="V35" s="2"/>
    </row>
    <row r="36" spans="1:22" x14ac:dyDescent="0.3">
      <c r="A36" s="2"/>
      <c r="B36" s="2"/>
      <c r="C36" s="2"/>
      <c r="F36" s="2"/>
      <c r="G36" s="2"/>
      <c r="H36" s="2"/>
      <c r="I36" s="2"/>
      <c r="J36" s="2" t="str">
        <f t="shared" si="3"/>
        <v/>
      </c>
      <c r="K36" s="2" t="str">
        <f t="shared" si="4"/>
        <v/>
      </c>
      <c r="L36" s="2" t="str">
        <f>LOWER(Call_Center_Data[[#This Row],[Column8]])</f>
        <v/>
      </c>
      <c r="M36" s="2" t="str">
        <f>CONCATENATE(G37," ",F37," ",H37)</f>
        <v xml:space="preserve">  </v>
      </c>
      <c r="N36" s="2"/>
      <c r="O36" s="2"/>
      <c r="Q36" t="str">
        <f>IF(Call_Center_Data[[#This Row],[Column11]]&gt;=20," great", " bad")</f>
        <v xml:space="preserve"> bad</v>
      </c>
      <c r="R36" t="str">
        <f>IF(AND(Call_Center_Data[[#This Row],[Column11]]&gt;=30,Call_Center_Data[[#This Row],[if]]=" great"),"in","out")</f>
        <v>out</v>
      </c>
      <c r="S36" t="str">
        <f>IF(OR(Call_Center_Data[[#This Row],[if]]="great",Call_Center_Data[[#This Row],[and]]="in"),"pass","fail")</f>
        <v>fail</v>
      </c>
      <c r="T36">
        <f t="shared" si="5"/>
        <v>363</v>
      </c>
      <c r="U36">
        <f>SUMIF(Call_Center_Data[[#Headers],[Column11]],Q37="great")</f>
        <v>0</v>
      </c>
      <c r="V36" s="2"/>
    </row>
    <row r="37" spans="1:22" x14ac:dyDescent="0.3">
      <c r="A37" s="2"/>
      <c r="B37" s="2"/>
      <c r="C37" s="2"/>
      <c r="F37" s="2"/>
      <c r="G37" s="2"/>
      <c r="H37" s="2"/>
      <c r="I37" s="2"/>
      <c r="J37" s="2" t="str">
        <f t="shared" si="3"/>
        <v/>
      </c>
      <c r="K37" s="2" t="str">
        <f t="shared" si="4"/>
        <v/>
      </c>
      <c r="L37" s="2" t="str">
        <f>LOWER(Call_Center_Data[[#This Row],[Column8]])</f>
        <v/>
      </c>
      <c r="M37" s="2" t="str">
        <f>CONCATENATE(G38," ",F38," ",H38)</f>
        <v xml:space="preserve">  </v>
      </c>
      <c r="N37" s="2"/>
      <c r="O37" s="2"/>
      <c r="Q37" t="str">
        <f>IF(Call_Center_Data[[#This Row],[Column11]]&gt;=20," great", " bad")</f>
        <v xml:space="preserve"> bad</v>
      </c>
      <c r="R37" t="str">
        <f>IF(AND(Call_Center_Data[[#This Row],[Column11]]&gt;=30,Call_Center_Data[[#This Row],[if]]=" great"),"in","out")</f>
        <v>out</v>
      </c>
      <c r="S37" t="str">
        <f>IF(OR(Call_Center_Data[[#This Row],[if]]="great",Call_Center_Data[[#This Row],[and]]="in"),"pass","fail")</f>
        <v>fail</v>
      </c>
      <c r="T37">
        <f t="shared" si="5"/>
        <v>363</v>
      </c>
      <c r="U37">
        <f>SUMIF(Call_Center_Data[[#Headers],[Column11]],Q38="great")</f>
        <v>0</v>
      </c>
      <c r="V37" s="2"/>
    </row>
    <row r="38" spans="1:22" x14ac:dyDescent="0.3">
      <c r="A38" s="2"/>
      <c r="B38" s="2"/>
      <c r="C38" s="2"/>
      <c r="F38" s="2"/>
      <c r="G38" s="2"/>
      <c r="H38" s="2"/>
      <c r="I38" s="2"/>
      <c r="J38" s="2" t="str">
        <f t="shared" si="3"/>
        <v/>
      </c>
      <c r="K38" s="2" t="str">
        <f t="shared" si="4"/>
        <v/>
      </c>
      <c r="L38" s="2" t="str">
        <f>LOWER(Call_Center_Data[[#This Row],[Column8]])</f>
        <v/>
      </c>
      <c r="M38" s="2" t="str">
        <f>CONCATENATE(G39," ",F39," ",H39)</f>
        <v xml:space="preserve">  </v>
      </c>
      <c r="N38" s="2"/>
      <c r="O38" s="2"/>
      <c r="Q38" t="str">
        <f>IF(Call_Center_Data[[#This Row],[Column11]]&gt;=20," great", " bad")</f>
        <v xml:space="preserve"> bad</v>
      </c>
      <c r="R38" t="str">
        <f>IF(AND(Call_Center_Data[[#This Row],[Column11]]&gt;=30,Call_Center_Data[[#This Row],[if]]=" great"),"in","out")</f>
        <v>out</v>
      </c>
      <c r="S38" t="str">
        <f>IF(OR(Call_Center_Data[[#This Row],[if]]="great",Call_Center_Data[[#This Row],[and]]="in"),"pass","fail")</f>
        <v>fail</v>
      </c>
      <c r="T38">
        <f t="shared" si="5"/>
        <v>363</v>
      </c>
      <c r="U38">
        <f>SUMIF(Call_Center_Data[[#Headers],[Column11]],Q39="great")</f>
        <v>0</v>
      </c>
      <c r="V38" s="2"/>
    </row>
    <row r="39" spans="1:22" x14ac:dyDescent="0.3">
      <c r="A39" s="2"/>
      <c r="B39" s="2"/>
      <c r="C39" s="2"/>
      <c r="F39" s="2"/>
      <c r="G39" s="2"/>
      <c r="H39" s="2"/>
      <c r="I39" s="2"/>
      <c r="J39" s="2" t="str">
        <f t="shared" si="3"/>
        <v/>
      </c>
      <c r="K39" s="2" t="str">
        <f t="shared" si="4"/>
        <v/>
      </c>
      <c r="L39" s="2" t="str">
        <f>LOWER(Call_Center_Data[[#This Row],[Column8]])</f>
        <v/>
      </c>
      <c r="M39" s="2" t="str">
        <f>CONCATENATE(G40," ",F40," ",H40)</f>
        <v xml:space="preserve">  </v>
      </c>
      <c r="N39" s="2"/>
      <c r="O39" s="2"/>
      <c r="Q39" t="str">
        <f>IF(Call_Center_Data[[#This Row],[Column11]]&gt;=20," great", " bad")</f>
        <v xml:space="preserve"> bad</v>
      </c>
      <c r="R39" t="str">
        <f>IF(AND(Call_Center_Data[[#This Row],[Column11]]&gt;=30,Call_Center_Data[[#This Row],[if]]=" great"),"in","out")</f>
        <v>out</v>
      </c>
      <c r="S39" t="str">
        <f>IF(OR(Call_Center_Data[[#This Row],[if]]="great",Call_Center_Data[[#This Row],[and]]="in"),"pass","fail")</f>
        <v>fail</v>
      </c>
      <c r="T39">
        <f t="shared" si="5"/>
        <v>363</v>
      </c>
      <c r="U39">
        <f>SUMIF(Call_Center_Data[[#Headers],[Column11]],Q40="great")</f>
        <v>0</v>
      </c>
      <c r="V39" s="2"/>
    </row>
    <row r="40" spans="1:22" x14ac:dyDescent="0.3">
      <c r="A40" s="2"/>
      <c r="B40" s="2"/>
      <c r="C40" s="2"/>
      <c r="F40" s="2"/>
      <c r="G40" s="2"/>
      <c r="H40" s="2"/>
      <c r="I40" s="2"/>
      <c r="J40" s="2" t="str">
        <f t="shared" si="3"/>
        <v/>
      </c>
      <c r="K40" s="2" t="str">
        <f t="shared" si="4"/>
        <v/>
      </c>
      <c r="L40" s="2" t="str">
        <f>LOWER(Call_Center_Data[[#This Row],[Column8]])</f>
        <v/>
      </c>
      <c r="M40" s="2" t="str">
        <f>CONCATENATE(G41," ",F41," ",H41)</f>
        <v xml:space="preserve">  </v>
      </c>
      <c r="N40" s="2"/>
      <c r="O40" s="2"/>
      <c r="Q40" t="str">
        <f>IF(Call_Center_Data[[#This Row],[Column11]]&gt;=20," great", " bad")</f>
        <v xml:space="preserve"> bad</v>
      </c>
      <c r="R40" t="str">
        <f>IF(AND(Call_Center_Data[[#This Row],[Column11]]&gt;=30,Call_Center_Data[[#This Row],[if]]=" great"),"in","out")</f>
        <v>out</v>
      </c>
      <c r="S40" t="str">
        <f>IF(OR(Call_Center_Data[[#This Row],[if]]="great",Call_Center_Data[[#This Row],[and]]="in"),"pass","fail")</f>
        <v>fail</v>
      </c>
      <c r="T40">
        <f t="shared" si="5"/>
        <v>363</v>
      </c>
      <c r="U40">
        <f>SUMIF(Call_Center_Data[[#Headers],[Column11]],Q41="great")</f>
        <v>0</v>
      </c>
      <c r="V40" s="2"/>
    </row>
    <row r="41" spans="1:22" x14ac:dyDescent="0.3">
      <c r="A41" s="2"/>
      <c r="B41" s="2"/>
      <c r="C41" s="2"/>
      <c r="F41" s="2"/>
      <c r="G41" s="2"/>
      <c r="H41" s="2"/>
      <c r="I41" s="2"/>
      <c r="J41" s="2" t="str">
        <f t="shared" si="3"/>
        <v/>
      </c>
      <c r="K41" s="2" t="str">
        <f t="shared" si="4"/>
        <v/>
      </c>
      <c r="L41" s="2" t="str">
        <f>LOWER(Call_Center_Data[[#This Row],[Column8]])</f>
        <v/>
      </c>
      <c r="M41" s="2" t="str">
        <f>CONCATENATE(G42," ",F42," ",H42)</f>
        <v xml:space="preserve">  </v>
      </c>
      <c r="N41" s="2"/>
      <c r="O41" s="2"/>
      <c r="Q41" t="str">
        <f>IF(Call_Center_Data[[#This Row],[Column11]]&gt;=20," great", " bad")</f>
        <v xml:space="preserve"> bad</v>
      </c>
      <c r="R41" t="str">
        <f>IF(AND(Call_Center_Data[[#This Row],[Column11]]&gt;=30,Call_Center_Data[[#This Row],[if]]=" great"),"in","out")</f>
        <v>out</v>
      </c>
      <c r="S41" t="str">
        <f>IF(OR(Call_Center_Data[[#This Row],[if]]="great",Call_Center_Data[[#This Row],[and]]="in"),"pass","fail")</f>
        <v>fail</v>
      </c>
      <c r="T41">
        <f t="shared" si="5"/>
        <v>363</v>
      </c>
      <c r="U41">
        <f>SUMIF(Call_Center_Data[[#Headers],[Column11]],Q42="great")</f>
        <v>0</v>
      </c>
      <c r="V41" s="2"/>
    </row>
    <row r="42" spans="1:22" x14ac:dyDescent="0.3">
      <c r="A42" s="2"/>
      <c r="B42" s="2"/>
      <c r="C42" s="2"/>
      <c r="F42" s="2"/>
      <c r="G42" s="2"/>
      <c r="H42" s="2"/>
      <c r="I42" s="2"/>
      <c r="J42" s="2" t="str">
        <f t="shared" si="3"/>
        <v/>
      </c>
      <c r="K42" s="2" t="str">
        <f t="shared" si="4"/>
        <v/>
      </c>
      <c r="L42" s="2" t="str">
        <f>LOWER(Call_Center_Data[[#This Row],[Column8]])</f>
        <v/>
      </c>
      <c r="M42" s="2" t="str">
        <f>CONCATENATE(G43," ",F43," ",H43)</f>
        <v xml:space="preserve">  </v>
      </c>
      <c r="N42" s="2"/>
      <c r="O42" s="2"/>
      <c r="Q42" t="str">
        <f>IF(Call_Center_Data[[#This Row],[Column11]]&gt;=20," great", " bad")</f>
        <v xml:space="preserve"> bad</v>
      </c>
      <c r="R42" t="str">
        <f>IF(AND(Call_Center_Data[[#This Row],[Column11]]&gt;=30,Call_Center_Data[[#This Row],[if]]=" great"),"in","out")</f>
        <v>out</v>
      </c>
      <c r="S42" t="str">
        <f>IF(OR(Call_Center_Data[[#This Row],[if]]="great",Call_Center_Data[[#This Row],[and]]="in"),"pass","fail")</f>
        <v>fail</v>
      </c>
      <c r="T42">
        <f t="shared" si="5"/>
        <v>363</v>
      </c>
      <c r="U42">
        <f>SUMIF(Call_Center_Data[[#Headers],[Column11]],Q43="great")</f>
        <v>0</v>
      </c>
      <c r="V42" s="2"/>
    </row>
    <row r="43" spans="1:22" x14ac:dyDescent="0.3">
      <c r="A43" s="2"/>
      <c r="B43" s="2"/>
      <c r="C43" s="2"/>
      <c r="F43" s="2"/>
      <c r="G43" s="2"/>
      <c r="H43" s="2"/>
      <c r="I43" s="2"/>
      <c r="J43" s="2" t="str">
        <f t="shared" si="3"/>
        <v/>
      </c>
      <c r="K43" s="2" t="str">
        <f t="shared" si="4"/>
        <v/>
      </c>
      <c r="L43" s="2" t="str">
        <f>LOWER(Call_Center_Data[[#This Row],[Column8]])</f>
        <v/>
      </c>
      <c r="M43" s="2" t="str">
        <f>CONCATENATE(G44," ",F44," ",H44)</f>
        <v xml:space="preserve">  </v>
      </c>
      <c r="N43" s="2"/>
      <c r="O43" s="2"/>
      <c r="Q43" t="str">
        <f>IF(Call_Center_Data[[#This Row],[Column11]]&gt;=20," great", " bad")</f>
        <v xml:space="preserve"> bad</v>
      </c>
      <c r="R43" t="str">
        <f>IF(AND(Call_Center_Data[[#This Row],[Column11]]&gt;=30,Call_Center_Data[[#This Row],[if]]=" great"),"in","out")</f>
        <v>out</v>
      </c>
      <c r="S43" t="str">
        <f>IF(OR(Call_Center_Data[[#This Row],[if]]="great",Call_Center_Data[[#This Row],[and]]="in"),"pass","fail")</f>
        <v>fail</v>
      </c>
      <c r="T43">
        <f t="shared" si="5"/>
        <v>363</v>
      </c>
      <c r="U43">
        <f>SUMIF(Call_Center_Data[[#Headers],[Column11]],Q44="great")</f>
        <v>0</v>
      </c>
      <c r="V43" s="2"/>
    </row>
    <row r="44" spans="1:22" x14ac:dyDescent="0.3">
      <c r="A44" s="2"/>
      <c r="B44" s="2"/>
      <c r="C44" s="2"/>
      <c r="F44" s="2"/>
      <c r="G44" s="2"/>
      <c r="H44" s="2"/>
      <c r="I44" s="2"/>
      <c r="J44" s="2" t="str">
        <f t="shared" si="3"/>
        <v/>
      </c>
      <c r="K44" s="2" t="str">
        <f t="shared" si="4"/>
        <v/>
      </c>
      <c r="L44" s="2" t="str">
        <f>LOWER(Call_Center_Data[[#This Row],[Column8]])</f>
        <v/>
      </c>
      <c r="M44" s="2" t="str">
        <f>CONCATENATE(G45," ",F45," ",H45)</f>
        <v xml:space="preserve">  </v>
      </c>
      <c r="N44" s="2"/>
      <c r="O44" s="2"/>
      <c r="Q44" t="str">
        <f>IF(Call_Center_Data[[#This Row],[Column11]]&gt;=20," great", " bad")</f>
        <v xml:space="preserve"> bad</v>
      </c>
      <c r="R44" t="str">
        <f>IF(AND(Call_Center_Data[[#This Row],[Column11]]&gt;=30,Call_Center_Data[[#This Row],[if]]=" great"),"in","out")</f>
        <v>out</v>
      </c>
      <c r="S44" t="str">
        <f>IF(OR(Call_Center_Data[[#This Row],[if]]="great",Call_Center_Data[[#This Row],[and]]="in"),"pass","fail")</f>
        <v>fail</v>
      </c>
      <c r="T44">
        <f t="shared" si="5"/>
        <v>363</v>
      </c>
      <c r="U44">
        <f>SUMIF(Call_Center_Data[[#Headers],[Column11]],Q45="great")</f>
        <v>0</v>
      </c>
      <c r="V44" s="2"/>
    </row>
    <row r="45" spans="1:22" x14ac:dyDescent="0.3">
      <c r="A45" s="2"/>
      <c r="B45" s="2"/>
      <c r="C45" s="2"/>
      <c r="F45" s="2"/>
      <c r="G45" s="2"/>
      <c r="H45" s="2"/>
      <c r="I45" s="2"/>
      <c r="J45" s="2" t="str">
        <f t="shared" si="3"/>
        <v/>
      </c>
      <c r="K45" s="2" t="str">
        <f t="shared" si="4"/>
        <v/>
      </c>
      <c r="L45" s="2" t="str">
        <f>LOWER(Call_Center_Data[[#This Row],[Column8]])</f>
        <v/>
      </c>
      <c r="M45" s="2" t="str">
        <f>CONCATENATE(G46," ",F46," ",H46)</f>
        <v xml:space="preserve">  </v>
      </c>
      <c r="N45" s="2"/>
      <c r="O45" s="2"/>
      <c r="Q45" t="str">
        <f>IF(Call_Center_Data[[#This Row],[Column11]]&gt;=20," great", " bad")</f>
        <v xml:space="preserve"> bad</v>
      </c>
      <c r="R45" t="str">
        <f>IF(AND(Call_Center_Data[[#This Row],[Column11]]&gt;=30,Call_Center_Data[[#This Row],[if]]=" great"),"in","out")</f>
        <v>out</v>
      </c>
      <c r="S45" t="str">
        <f>IF(OR(Call_Center_Data[[#This Row],[if]]="great",Call_Center_Data[[#This Row],[and]]="in"),"pass","fail")</f>
        <v>fail</v>
      </c>
      <c r="T45">
        <f t="shared" si="5"/>
        <v>363</v>
      </c>
      <c r="U45">
        <f>SUMIF(Call_Center_Data[[#Headers],[Column11]],Q46="great")</f>
        <v>0</v>
      </c>
      <c r="V45" s="2"/>
    </row>
    <row r="46" spans="1:22" x14ac:dyDescent="0.3">
      <c r="A46" s="2"/>
      <c r="B46" s="2"/>
      <c r="C46" s="2"/>
      <c r="F46" s="2"/>
      <c r="G46" s="2"/>
      <c r="H46" s="2"/>
      <c r="I46" s="2"/>
      <c r="J46" s="2" t="str">
        <f t="shared" si="3"/>
        <v/>
      </c>
      <c r="K46" s="2" t="str">
        <f t="shared" si="4"/>
        <v/>
      </c>
      <c r="L46" s="2" t="str">
        <f>LOWER(Call_Center_Data[[#This Row],[Column8]])</f>
        <v/>
      </c>
      <c r="M46" s="2" t="str">
        <f>CONCATENATE(G47," ",F47," ",H47)</f>
        <v xml:space="preserve">  </v>
      </c>
      <c r="N46" s="2"/>
      <c r="O46" s="2"/>
      <c r="Q46" t="str">
        <f>IF(Call_Center_Data[[#This Row],[Column11]]&gt;=20," great", " bad")</f>
        <v xml:space="preserve"> bad</v>
      </c>
      <c r="R46" t="str">
        <f>IF(AND(Call_Center_Data[[#This Row],[Column11]]&gt;=30,Call_Center_Data[[#This Row],[if]]=" great"),"in","out")</f>
        <v>out</v>
      </c>
      <c r="S46" t="str">
        <f>IF(OR(Call_Center_Data[[#This Row],[if]]="great",Call_Center_Data[[#This Row],[and]]="in"),"pass","fail")</f>
        <v>fail</v>
      </c>
      <c r="T46">
        <f t="shared" si="5"/>
        <v>363</v>
      </c>
      <c r="U46">
        <f>SUMIF(Call_Center_Data[[#Headers],[Column11]],Q47="great")</f>
        <v>0</v>
      </c>
      <c r="V46" s="2"/>
    </row>
    <row r="47" spans="1:22" x14ac:dyDescent="0.3">
      <c r="A47" s="2"/>
      <c r="B47" s="2"/>
      <c r="C47" s="2"/>
      <c r="F47" s="2"/>
      <c r="G47" s="2"/>
      <c r="H47" s="2"/>
      <c r="I47" s="2"/>
      <c r="J47" s="2" t="str">
        <f t="shared" si="3"/>
        <v/>
      </c>
      <c r="K47" s="2" t="str">
        <f t="shared" si="4"/>
        <v/>
      </c>
      <c r="L47" s="2" t="str">
        <f>LOWER(Call_Center_Data[[#This Row],[Column8]])</f>
        <v/>
      </c>
      <c r="M47" s="2" t="str">
        <f>CONCATENATE(G48," ",F48," ",H48)</f>
        <v xml:space="preserve">  </v>
      </c>
      <c r="N47" s="2"/>
      <c r="O47" s="2"/>
      <c r="Q47" t="str">
        <f>IF(Call_Center_Data[[#This Row],[Column11]]&gt;=20," great", " bad")</f>
        <v xml:space="preserve"> bad</v>
      </c>
      <c r="R47" t="str">
        <f>IF(AND(Call_Center_Data[[#This Row],[Column11]]&gt;=30,Call_Center_Data[[#This Row],[if]]=" great"),"in","out")</f>
        <v>out</v>
      </c>
      <c r="S47" t="str">
        <f>IF(OR(Call_Center_Data[[#This Row],[if]]="great",Call_Center_Data[[#This Row],[and]]="in"),"pass","fail")</f>
        <v>fail</v>
      </c>
      <c r="T47">
        <f t="shared" si="5"/>
        <v>363</v>
      </c>
      <c r="U47">
        <f>SUMIF(Call_Center_Data[[#Headers],[Column11]],Q48="great")</f>
        <v>0</v>
      </c>
      <c r="V47" s="2"/>
    </row>
    <row r="48" spans="1:22" x14ac:dyDescent="0.3">
      <c r="A48" s="2"/>
      <c r="B48" s="2"/>
      <c r="C48" s="2"/>
      <c r="F48" s="2"/>
      <c r="G48" s="2"/>
      <c r="H48" s="2"/>
      <c r="I48" s="2"/>
      <c r="J48" s="2" t="str">
        <f t="shared" si="3"/>
        <v/>
      </c>
      <c r="K48" s="2" t="str">
        <f t="shared" si="4"/>
        <v/>
      </c>
      <c r="L48" s="2" t="str">
        <f>LOWER(Call_Center_Data[[#This Row],[Column8]])</f>
        <v/>
      </c>
      <c r="M48" s="2" t="str">
        <f>CONCATENATE(G49," ",F49," ",H49)</f>
        <v xml:space="preserve">  </v>
      </c>
      <c r="N48" s="2"/>
      <c r="O48" s="2"/>
      <c r="Q48" t="str">
        <f>IF(Call_Center_Data[[#This Row],[Column11]]&gt;=20," great", " bad")</f>
        <v xml:space="preserve"> bad</v>
      </c>
      <c r="R48" t="str">
        <f>IF(AND(Call_Center_Data[[#This Row],[Column11]]&gt;=30,Call_Center_Data[[#This Row],[if]]=" great"),"in","out")</f>
        <v>out</v>
      </c>
      <c r="S48" t="str">
        <f>IF(OR(Call_Center_Data[[#This Row],[if]]="great",Call_Center_Data[[#This Row],[and]]="in"),"pass","fail")</f>
        <v>fail</v>
      </c>
      <c r="T48">
        <f t="shared" si="5"/>
        <v>363</v>
      </c>
      <c r="U48">
        <f>SUMIF(Call_Center_Data[[#Headers],[Column11]],Q49="great")</f>
        <v>0</v>
      </c>
      <c r="V48" s="2"/>
    </row>
    <row r="49" spans="1:22" x14ac:dyDescent="0.3">
      <c r="A49" s="2"/>
      <c r="B49" s="2"/>
      <c r="C49" s="2"/>
      <c r="F49" s="2"/>
      <c r="G49" s="2"/>
      <c r="H49" s="2"/>
      <c r="I49" s="2"/>
      <c r="J49" s="2" t="str">
        <f t="shared" si="3"/>
        <v/>
      </c>
      <c r="K49" s="2" t="str">
        <f t="shared" si="4"/>
        <v/>
      </c>
      <c r="L49" s="2" t="str">
        <f>LOWER(Call_Center_Data[[#This Row],[Column8]])</f>
        <v/>
      </c>
      <c r="M49" s="2" t="str">
        <f>CONCATENATE(G50," ",F50," ",H50)</f>
        <v xml:space="preserve">  </v>
      </c>
      <c r="N49" s="2"/>
      <c r="O49" s="2"/>
      <c r="Q49" t="str">
        <f>IF(Call_Center_Data[[#This Row],[Column11]]&gt;=20," great", " bad")</f>
        <v xml:space="preserve"> bad</v>
      </c>
      <c r="R49" t="str">
        <f>IF(AND(Call_Center_Data[[#This Row],[Column11]]&gt;=30,Call_Center_Data[[#This Row],[if]]=" great"),"in","out")</f>
        <v>out</v>
      </c>
      <c r="S49" t="str">
        <f>IF(OR(Call_Center_Data[[#This Row],[if]]="great",Call_Center_Data[[#This Row],[and]]="in"),"pass","fail")</f>
        <v>fail</v>
      </c>
      <c r="T49">
        <f t="shared" si="5"/>
        <v>363</v>
      </c>
      <c r="U49">
        <f>SUMIF(Call_Center_Data[[#Headers],[Column11]],Q50="great")</f>
        <v>0</v>
      </c>
      <c r="V49" s="2"/>
    </row>
    <row r="50" spans="1:22" x14ac:dyDescent="0.3">
      <c r="A50" s="2"/>
      <c r="B50" s="2"/>
      <c r="C50" s="2"/>
      <c r="F50" s="2"/>
      <c r="G50" s="2"/>
      <c r="H50" s="2"/>
      <c r="I50" s="2"/>
      <c r="J50" s="2" t="str">
        <f t="shared" si="3"/>
        <v/>
      </c>
      <c r="K50" s="2" t="str">
        <f t="shared" si="4"/>
        <v/>
      </c>
      <c r="L50" s="2" t="str">
        <f>LOWER(Call_Center_Data[[#This Row],[Column8]])</f>
        <v/>
      </c>
      <c r="M50" s="2" t="str">
        <f>CONCATENATE(G51," ",F51," ",H51)</f>
        <v xml:space="preserve">  </v>
      </c>
      <c r="N50" s="2"/>
      <c r="O50" s="2"/>
      <c r="Q50" t="str">
        <f>IF(Call_Center_Data[[#This Row],[Column11]]&gt;=20," great", " bad")</f>
        <v xml:space="preserve"> bad</v>
      </c>
      <c r="R50" t="str">
        <f>IF(AND(Call_Center_Data[[#This Row],[Column11]]&gt;=30,Call_Center_Data[[#This Row],[if]]=" great"),"in","out")</f>
        <v>out</v>
      </c>
      <c r="S50" t="str">
        <f>IF(OR(Call_Center_Data[[#This Row],[if]]="great",Call_Center_Data[[#This Row],[and]]="in"),"pass","fail")</f>
        <v>fail</v>
      </c>
      <c r="T50">
        <f t="shared" si="5"/>
        <v>363</v>
      </c>
      <c r="U50">
        <f>SUMIF(Call_Center_Data[[#Headers],[Column11]],Q51="great")</f>
        <v>0</v>
      </c>
      <c r="V50" s="2"/>
    </row>
    <row r="51" spans="1:22" x14ac:dyDescent="0.3">
      <c r="A51" s="2"/>
      <c r="B51" s="2"/>
      <c r="C51" s="2"/>
      <c r="F51" s="2"/>
      <c r="G51" s="2"/>
      <c r="H51" s="2"/>
      <c r="I51" s="2"/>
      <c r="J51" s="2" t="str">
        <f t="shared" si="3"/>
        <v/>
      </c>
      <c r="K51" s="2" t="str">
        <f t="shared" si="4"/>
        <v/>
      </c>
      <c r="L51" s="2" t="str">
        <f>LOWER(Call_Center_Data[[#This Row],[Column8]])</f>
        <v/>
      </c>
      <c r="M51" s="2" t="str">
        <f>CONCATENATE(G52," ",F52," ",H52)</f>
        <v xml:space="preserve">  </v>
      </c>
      <c r="N51" s="2"/>
      <c r="O51" s="2"/>
      <c r="Q51" t="str">
        <f>IF(Call_Center_Data[[#This Row],[Column11]]&gt;=20," great", " bad")</f>
        <v xml:space="preserve"> bad</v>
      </c>
      <c r="R51" t="str">
        <f>IF(AND(Call_Center_Data[[#This Row],[Column11]]&gt;=30,Call_Center_Data[[#This Row],[if]]=" great"),"in","out")</f>
        <v>out</v>
      </c>
      <c r="S51" t="str">
        <f>IF(OR(Call_Center_Data[[#This Row],[if]]="great",Call_Center_Data[[#This Row],[and]]="in"),"pass","fail")</f>
        <v>fail</v>
      </c>
      <c r="T51">
        <f t="shared" si="5"/>
        <v>363</v>
      </c>
      <c r="U51">
        <f>SUMIF(Call_Center_Data[[#Headers],[Column11]],Q52="great")</f>
        <v>0</v>
      </c>
      <c r="V51" s="2"/>
    </row>
    <row r="52" spans="1:22" x14ac:dyDescent="0.3">
      <c r="A52" s="2"/>
      <c r="B52" s="2"/>
      <c r="C52" s="2"/>
      <c r="F52" s="2"/>
      <c r="G52" s="2"/>
      <c r="H52" s="2"/>
      <c r="I52" s="2"/>
      <c r="J52" s="2" t="str">
        <f t="shared" si="3"/>
        <v/>
      </c>
      <c r="K52" s="2" t="str">
        <f t="shared" si="4"/>
        <v/>
      </c>
      <c r="L52" s="2" t="str">
        <f>LOWER(Call_Center_Data[[#This Row],[Column8]])</f>
        <v/>
      </c>
      <c r="M52" s="2" t="str">
        <f>CONCATENATE(G53," ",F53," ",H53)</f>
        <v xml:space="preserve">  </v>
      </c>
      <c r="N52" s="2"/>
      <c r="O52" s="2"/>
      <c r="Q52" t="str">
        <f>IF(Call_Center_Data[[#This Row],[Column11]]&gt;=20," great", " bad")</f>
        <v xml:space="preserve"> bad</v>
      </c>
      <c r="R52" t="str">
        <f>IF(AND(Call_Center_Data[[#This Row],[Column11]]&gt;=30,Call_Center_Data[[#This Row],[if]]=" great"),"in","out")</f>
        <v>out</v>
      </c>
      <c r="S52" t="str">
        <f>IF(OR(Call_Center_Data[[#This Row],[if]]="great",Call_Center_Data[[#This Row],[and]]="in"),"pass","fail")</f>
        <v>fail</v>
      </c>
      <c r="T52">
        <f t="shared" si="5"/>
        <v>363</v>
      </c>
      <c r="U52">
        <f>SUMIF(Call_Center_Data[[#Headers],[Column11]],Q53="great")</f>
        <v>0</v>
      </c>
      <c r="V52" s="2"/>
    </row>
    <row r="53" spans="1:22" x14ac:dyDescent="0.3">
      <c r="A53" s="2"/>
      <c r="B53" s="2"/>
      <c r="C53" s="2"/>
      <c r="F53" s="2"/>
      <c r="G53" s="2"/>
      <c r="H53" s="2"/>
      <c r="I53" s="2"/>
      <c r="J53" s="2" t="str">
        <f t="shared" si="3"/>
        <v/>
      </c>
      <c r="K53" s="2" t="str">
        <f t="shared" si="4"/>
        <v/>
      </c>
      <c r="L53" s="2" t="str">
        <f>LOWER(Call_Center_Data[[#This Row],[Column8]])</f>
        <v/>
      </c>
      <c r="M53" s="2" t="str">
        <f>CONCATENATE(G54," ",F54," ",H54)</f>
        <v xml:space="preserve">  </v>
      </c>
      <c r="N53" s="2"/>
      <c r="O53" s="2"/>
      <c r="Q53" t="str">
        <f>IF(Call_Center_Data[[#This Row],[Column11]]&gt;=20," great", " bad")</f>
        <v xml:space="preserve"> bad</v>
      </c>
      <c r="R53" t="str">
        <f>IF(AND(Call_Center_Data[[#This Row],[Column11]]&gt;=30,Call_Center_Data[[#This Row],[if]]=" great"),"in","out")</f>
        <v>out</v>
      </c>
      <c r="S53" t="str">
        <f>IF(OR(Call_Center_Data[[#This Row],[if]]="great",Call_Center_Data[[#This Row],[and]]="in"),"pass","fail")</f>
        <v>fail</v>
      </c>
      <c r="T53">
        <f t="shared" si="5"/>
        <v>363</v>
      </c>
      <c r="U53">
        <f>SUMIF(Call_Center_Data[[#Headers],[Column11]],Q54="great")</f>
        <v>0</v>
      </c>
      <c r="V53" s="2"/>
    </row>
    <row r="54" spans="1:22" x14ac:dyDescent="0.3">
      <c r="A54" s="2"/>
      <c r="B54" s="2"/>
      <c r="C54" s="2"/>
      <c r="F54" s="2"/>
      <c r="G54" s="2"/>
      <c r="H54" s="2"/>
      <c r="I54" s="2"/>
      <c r="J54" s="2" t="str">
        <f t="shared" si="3"/>
        <v/>
      </c>
      <c r="K54" s="2" t="str">
        <f t="shared" si="4"/>
        <v/>
      </c>
      <c r="L54" s="2" t="str">
        <f>LOWER(Call_Center_Data[[#This Row],[Column8]])</f>
        <v/>
      </c>
      <c r="M54" s="2" t="str">
        <f>CONCATENATE(G55," ",F55," ",H55)</f>
        <v xml:space="preserve">  </v>
      </c>
      <c r="N54" s="2"/>
      <c r="O54" s="2"/>
      <c r="Q54" t="str">
        <f>IF(Call_Center_Data[[#This Row],[Column11]]&gt;=20," great", " bad")</f>
        <v xml:space="preserve"> bad</v>
      </c>
      <c r="R54" t="str">
        <f>IF(AND(Call_Center_Data[[#This Row],[Column11]]&gt;=30,Call_Center_Data[[#This Row],[if]]=" great"),"in","out")</f>
        <v>out</v>
      </c>
      <c r="S54" t="str">
        <f>IF(OR(Call_Center_Data[[#This Row],[if]]="great",Call_Center_Data[[#This Row],[and]]="in"),"pass","fail")</f>
        <v>fail</v>
      </c>
      <c r="T54">
        <f t="shared" si="5"/>
        <v>363</v>
      </c>
      <c r="U54">
        <f>SUMIF(Call_Center_Data[[#Headers],[Column11]],Q55="great")</f>
        <v>0</v>
      </c>
      <c r="V54" s="2"/>
    </row>
    <row r="55" spans="1:22" x14ac:dyDescent="0.3">
      <c r="A55" s="2"/>
      <c r="B55" s="2"/>
      <c r="C55" s="2"/>
      <c r="F55" s="2"/>
      <c r="G55" s="2"/>
      <c r="H55" s="2"/>
      <c r="I55" s="2"/>
      <c r="J55" s="2" t="str">
        <f t="shared" si="3"/>
        <v/>
      </c>
      <c r="K55" s="2" t="str">
        <f t="shared" si="4"/>
        <v/>
      </c>
      <c r="L55" s="2" t="str">
        <f>LOWER(Call_Center_Data[[#This Row],[Column8]])</f>
        <v/>
      </c>
      <c r="M55" s="2" t="str">
        <f>CONCATENATE(G56," ",F56," ",H56)</f>
        <v xml:space="preserve">  </v>
      </c>
      <c r="N55" s="2"/>
      <c r="O55" s="2"/>
      <c r="Q55" t="str">
        <f>IF(Call_Center_Data[[#This Row],[Column11]]&gt;=20," great", " bad")</f>
        <v xml:space="preserve"> bad</v>
      </c>
      <c r="R55" t="str">
        <f>IF(AND(Call_Center_Data[[#This Row],[Column11]]&gt;=30,Call_Center_Data[[#This Row],[if]]=" great"),"in","out")</f>
        <v>out</v>
      </c>
      <c r="S55" t="str">
        <f>IF(OR(Call_Center_Data[[#This Row],[if]]="great",Call_Center_Data[[#This Row],[and]]="in"),"pass","fail")</f>
        <v>fail</v>
      </c>
      <c r="T55">
        <f t="shared" si="5"/>
        <v>363</v>
      </c>
      <c r="U55">
        <f>SUMIF(Call_Center_Data[[#Headers],[Column11]],Q56="great")</f>
        <v>0</v>
      </c>
      <c r="V55" s="2"/>
    </row>
    <row r="56" spans="1:22" x14ac:dyDescent="0.3">
      <c r="A56" s="2"/>
      <c r="B56" s="2"/>
      <c r="C56" s="2"/>
      <c r="F56" s="2"/>
      <c r="G56" s="2"/>
      <c r="H56" s="2"/>
      <c r="I56" s="2"/>
      <c r="J56" s="2" t="str">
        <f t="shared" si="3"/>
        <v/>
      </c>
      <c r="K56" s="2" t="str">
        <f t="shared" si="4"/>
        <v/>
      </c>
      <c r="L56" s="2" t="str">
        <f>LOWER(Call_Center_Data[[#This Row],[Column8]])</f>
        <v/>
      </c>
      <c r="M56" s="2" t="str">
        <f>CONCATENATE(G57," ",F57," ",H57)</f>
        <v xml:space="preserve">  </v>
      </c>
      <c r="N56" s="2"/>
      <c r="O56" s="2"/>
      <c r="Q56" t="str">
        <f>IF(Call_Center_Data[[#This Row],[Column11]]&gt;=20," great", " bad")</f>
        <v xml:space="preserve"> bad</v>
      </c>
      <c r="R56" t="str">
        <f>IF(AND(Call_Center_Data[[#This Row],[Column11]]&gt;=30,Call_Center_Data[[#This Row],[if]]=" great"),"in","out")</f>
        <v>out</v>
      </c>
      <c r="S56" t="str">
        <f>IF(OR(Call_Center_Data[[#This Row],[if]]="great",Call_Center_Data[[#This Row],[and]]="in"),"pass","fail")</f>
        <v>fail</v>
      </c>
      <c r="T56">
        <f t="shared" si="5"/>
        <v>363</v>
      </c>
      <c r="U56">
        <f>SUMIF(Call_Center_Data[[#Headers],[Column11]],Q57="great")</f>
        <v>0</v>
      </c>
      <c r="V56" s="2"/>
    </row>
    <row r="57" spans="1:22" x14ac:dyDescent="0.3">
      <c r="A57" s="2"/>
      <c r="B57" s="2"/>
      <c r="C57" s="2"/>
      <c r="F57" s="2"/>
      <c r="G57" s="2"/>
      <c r="H57" s="2"/>
      <c r="I57" s="2"/>
      <c r="J57" s="2" t="str">
        <f t="shared" si="3"/>
        <v/>
      </c>
      <c r="K57" s="2" t="str">
        <f t="shared" si="4"/>
        <v/>
      </c>
      <c r="L57" s="2" t="str">
        <f>LOWER(Call_Center_Data[[#This Row],[Column8]])</f>
        <v/>
      </c>
      <c r="M57" s="2" t="str">
        <f>CONCATENATE(G58," ",F58," ",H58)</f>
        <v xml:space="preserve">  </v>
      </c>
      <c r="N57" s="2"/>
      <c r="O57" s="2"/>
      <c r="Q57" t="str">
        <f>IF(Call_Center_Data[[#This Row],[Column11]]&gt;=20," great", " bad")</f>
        <v xml:space="preserve"> bad</v>
      </c>
      <c r="R57" t="str">
        <f>IF(AND(Call_Center_Data[[#This Row],[Column11]]&gt;=30,Call_Center_Data[[#This Row],[if]]=" great"),"in","out")</f>
        <v>out</v>
      </c>
      <c r="S57" t="str">
        <f>IF(OR(Call_Center_Data[[#This Row],[if]]="great",Call_Center_Data[[#This Row],[and]]="in"),"pass","fail")</f>
        <v>fail</v>
      </c>
      <c r="T57">
        <f t="shared" si="5"/>
        <v>363</v>
      </c>
      <c r="U57">
        <f>SUMIF(Call_Center_Data[[#Headers],[Column11]],Q58="great")</f>
        <v>0</v>
      </c>
      <c r="V57" s="2"/>
    </row>
    <row r="58" spans="1:22" x14ac:dyDescent="0.3">
      <c r="A58" s="2"/>
      <c r="B58" s="2"/>
      <c r="C58" s="2"/>
      <c r="F58" s="2"/>
      <c r="G58" s="2"/>
      <c r="H58" s="2"/>
      <c r="I58" s="2"/>
      <c r="J58" s="2" t="str">
        <f t="shared" si="3"/>
        <v/>
      </c>
      <c r="K58" s="2" t="str">
        <f t="shared" si="4"/>
        <v/>
      </c>
      <c r="L58" s="2" t="str">
        <f>LOWER(Call_Center_Data[[#This Row],[Column8]])</f>
        <v/>
      </c>
      <c r="M58" s="2" t="str">
        <f>CONCATENATE(G59," ",F59," ",H59)</f>
        <v xml:space="preserve">  </v>
      </c>
      <c r="N58" s="2"/>
      <c r="O58" s="2"/>
      <c r="Q58" t="str">
        <f>IF(Call_Center_Data[[#This Row],[Column11]]&gt;=20," great", " bad")</f>
        <v xml:space="preserve"> bad</v>
      </c>
      <c r="R58" t="str">
        <f>IF(AND(Call_Center_Data[[#This Row],[Column11]]&gt;=30,Call_Center_Data[[#This Row],[if]]=" great"),"in","out")</f>
        <v>out</v>
      </c>
      <c r="S58" t="str">
        <f>IF(OR(Call_Center_Data[[#This Row],[if]]="great",Call_Center_Data[[#This Row],[and]]="in"),"pass","fail")</f>
        <v>fail</v>
      </c>
      <c r="T58">
        <f t="shared" si="5"/>
        <v>363</v>
      </c>
      <c r="U58">
        <f>SUMIF(Call_Center_Data[[#Headers],[Column11]],Q59="great")</f>
        <v>0</v>
      </c>
      <c r="V58" s="2"/>
    </row>
    <row r="59" spans="1:22" x14ac:dyDescent="0.3">
      <c r="A59" s="2"/>
      <c r="B59" s="2"/>
      <c r="C59" s="2"/>
      <c r="F59" s="2"/>
      <c r="G59" s="2"/>
      <c r="H59" s="2"/>
      <c r="I59" s="2"/>
      <c r="J59" s="2" t="str">
        <f t="shared" si="3"/>
        <v/>
      </c>
      <c r="K59" s="2" t="str">
        <f t="shared" si="4"/>
        <v/>
      </c>
      <c r="L59" s="2" t="str">
        <f>LOWER(Call_Center_Data[[#This Row],[Column8]])</f>
        <v/>
      </c>
      <c r="M59" s="2" t="str">
        <f>CONCATENATE(G60," ",F60," ",H60)</f>
        <v xml:space="preserve">  </v>
      </c>
      <c r="N59" s="2"/>
      <c r="O59" s="2"/>
      <c r="Q59" t="str">
        <f>IF(Call_Center_Data[[#This Row],[Column11]]&gt;=20," great", " bad")</f>
        <v xml:space="preserve"> bad</v>
      </c>
      <c r="R59" t="str">
        <f>IF(AND(Call_Center_Data[[#This Row],[Column11]]&gt;=30,Call_Center_Data[[#This Row],[if]]=" great"),"in","out")</f>
        <v>out</v>
      </c>
      <c r="S59" t="str">
        <f>IF(OR(Call_Center_Data[[#This Row],[if]]="great",Call_Center_Data[[#This Row],[and]]="in"),"pass","fail")</f>
        <v>fail</v>
      </c>
      <c r="T59">
        <f t="shared" si="5"/>
        <v>363</v>
      </c>
      <c r="U59">
        <f>SUMIF(Call_Center_Data[[#Headers],[Column11]],Q60="great")</f>
        <v>0</v>
      </c>
      <c r="V59" s="2"/>
    </row>
    <row r="60" spans="1:22" x14ac:dyDescent="0.3">
      <c r="A60" s="2"/>
      <c r="B60" s="2"/>
      <c r="C60" s="2"/>
      <c r="F60" s="2"/>
      <c r="G60" s="2"/>
      <c r="H60" s="2"/>
      <c r="I60" s="2"/>
      <c r="J60" s="2" t="str">
        <f t="shared" si="3"/>
        <v/>
      </c>
      <c r="K60" s="2" t="str">
        <f t="shared" si="4"/>
        <v/>
      </c>
      <c r="L60" s="2" t="str">
        <f>LOWER(Call_Center_Data[[#This Row],[Column8]])</f>
        <v/>
      </c>
      <c r="M60" s="2" t="str">
        <f>CONCATENATE(G61," ",F61," ",H61)</f>
        <v xml:space="preserve">  </v>
      </c>
      <c r="N60" s="2"/>
      <c r="O60" s="2"/>
      <c r="Q60" t="str">
        <f>IF(Call_Center_Data[[#This Row],[Column11]]&gt;=20," great", " bad")</f>
        <v xml:space="preserve"> bad</v>
      </c>
      <c r="R60" t="str">
        <f>IF(AND(Call_Center_Data[[#This Row],[Column11]]&gt;=30,Call_Center_Data[[#This Row],[if]]=" great"),"in","out")</f>
        <v>out</v>
      </c>
      <c r="S60" t="str">
        <f>IF(OR(Call_Center_Data[[#This Row],[if]]="great",Call_Center_Data[[#This Row],[and]]="in"),"pass","fail")</f>
        <v>fail</v>
      </c>
      <c r="T60">
        <f t="shared" si="5"/>
        <v>363</v>
      </c>
      <c r="U60">
        <f>SUMIF(Call_Center_Data[[#Headers],[Column11]],Q61="great")</f>
        <v>0</v>
      </c>
      <c r="V60" s="2"/>
    </row>
    <row r="61" spans="1:22" x14ac:dyDescent="0.3">
      <c r="A61" s="2"/>
      <c r="B61" s="2"/>
      <c r="C61" s="2"/>
      <c r="F61" s="2"/>
      <c r="G61" s="2"/>
      <c r="H61" s="2"/>
      <c r="I61" s="2"/>
      <c r="J61" s="2" t="str">
        <f t="shared" si="3"/>
        <v/>
      </c>
      <c r="K61" s="2" t="str">
        <f t="shared" si="4"/>
        <v/>
      </c>
      <c r="L61" s="2" t="str">
        <f>LOWER(Call_Center_Data[[#This Row],[Column8]])</f>
        <v/>
      </c>
      <c r="M61" s="2" t="str">
        <f>CONCATENATE(G62," ",F62," ",H62)</f>
        <v xml:space="preserve">  </v>
      </c>
      <c r="N61" s="2"/>
      <c r="O61" s="2"/>
      <c r="Q61" t="str">
        <f>IF(Call_Center_Data[[#This Row],[Column11]]&gt;=20," great", " bad")</f>
        <v xml:space="preserve"> bad</v>
      </c>
      <c r="R61" t="str">
        <f>IF(AND(Call_Center_Data[[#This Row],[Column11]]&gt;=30,Call_Center_Data[[#This Row],[if]]=" great"),"in","out")</f>
        <v>out</v>
      </c>
      <c r="S61" t="str">
        <f>IF(OR(Call_Center_Data[[#This Row],[if]]="great",Call_Center_Data[[#This Row],[and]]="in"),"pass","fail")</f>
        <v>fail</v>
      </c>
      <c r="T61">
        <f t="shared" si="5"/>
        <v>363</v>
      </c>
      <c r="U61">
        <f>SUMIF(Call_Center_Data[[#Headers],[Column11]],Q62="great")</f>
        <v>0</v>
      </c>
      <c r="V61" s="2"/>
    </row>
    <row r="62" spans="1:22" x14ac:dyDescent="0.3">
      <c r="A62" s="2"/>
      <c r="B62" s="2"/>
      <c r="C62" s="2"/>
      <c r="F62" s="2"/>
      <c r="G62" s="2"/>
      <c r="H62" s="2"/>
      <c r="I62" s="2"/>
      <c r="J62" s="2" t="str">
        <f t="shared" si="3"/>
        <v/>
      </c>
      <c r="K62" s="2" t="str">
        <f t="shared" si="4"/>
        <v/>
      </c>
      <c r="L62" s="2" t="str">
        <f>LOWER(Call_Center_Data[[#This Row],[Column8]])</f>
        <v/>
      </c>
      <c r="M62" s="2" t="str">
        <f>CONCATENATE(G63," ",F63," ",H63)</f>
        <v xml:space="preserve">  </v>
      </c>
      <c r="N62" s="2"/>
      <c r="O62" s="2"/>
      <c r="Q62" t="str">
        <f>IF(Call_Center_Data[[#This Row],[Column11]]&gt;=20," great", " bad")</f>
        <v xml:space="preserve"> bad</v>
      </c>
      <c r="R62" t="str">
        <f>IF(AND(Call_Center_Data[[#This Row],[Column11]]&gt;=30,Call_Center_Data[[#This Row],[if]]=" great"),"in","out")</f>
        <v>out</v>
      </c>
      <c r="S62" t="str">
        <f>IF(OR(Call_Center_Data[[#This Row],[if]]="great",Call_Center_Data[[#This Row],[and]]="in"),"pass","fail")</f>
        <v>fail</v>
      </c>
      <c r="T62">
        <f t="shared" si="5"/>
        <v>363</v>
      </c>
      <c r="U62">
        <f>SUMIF(Call_Center_Data[[#Headers],[Column11]],Q63="great")</f>
        <v>0</v>
      </c>
      <c r="V62" s="2"/>
    </row>
    <row r="63" spans="1:22" x14ac:dyDescent="0.3">
      <c r="A63" s="2"/>
      <c r="B63" s="2"/>
      <c r="C63" s="2"/>
      <c r="F63" s="2"/>
      <c r="G63" s="2"/>
      <c r="H63" s="2"/>
      <c r="I63" s="2"/>
      <c r="J63" s="2" t="str">
        <f t="shared" si="3"/>
        <v/>
      </c>
      <c r="K63" s="2" t="str">
        <f t="shared" si="4"/>
        <v/>
      </c>
      <c r="L63" s="2" t="str">
        <f>LOWER(Call_Center_Data[[#This Row],[Column8]])</f>
        <v/>
      </c>
      <c r="M63" s="2" t="str">
        <f>CONCATENATE(G64," ",F64," ",H64)</f>
        <v xml:space="preserve">  </v>
      </c>
      <c r="N63" s="2"/>
      <c r="O63" s="2"/>
      <c r="Q63" t="str">
        <f>IF(Call_Center_Data[[#This Row],[Column11]]&gt;=20," great", " bad")</f>
        <v xml:space="preserve"> bad</v>
      </c>
      <c r="R63" t="str">
        <f>IF(AND(Call_Center_Data[[#This Row],[Column11]]&gt;=30,Call_Center_Data[[#This Row],[if]]=" great"),"in","out")</f>
        <v>out</v>
      </c>
      <c r="S63" t="str">
        <f>IF(OR(Call_Center_Data[[#This Row],[if]]="great",Call_Center_Data[[#This Row],[and]]="in"),"pass","fail")</f>
        <v>fail</v>
      </c>
      <c r="T63">
        <f t="shared" si="5"/>
        <v>363</v>
      </c>
      <c r="U63">
        <f>SUMIF(Call_Center_Data[[#Headers],[Column11]],Q64="great")</f>
        <v>0</v>
      </c>
      <c r="V63" s="2"/>
    </row>
    <row r="64" spans="1:22" x14ac:dyDescent="0.3">
      <c r="A64" s="2"/>
      <c r="B64" s="2"/>
      <c r="C64" s="2"/>
      <c r="F64" s="2"/>
      <c r="G64" s="2"/>
      <c r="H64" s="2"/>
      <c r="I64" s="2"/>
      <c r="J64" s="2" t="str">
        <f t="shared" si="3"/>
        <v/>
      </c>
      <c r="K64" s="2" t="str">
        <f t="shared" si="4"/>
        <v/>
      </c>
      <c r="L64" s="2" t="str">
        <f>LOWER(Call_Center_Data[[#This Row],[Column8]])</f>
        <v/>
      </c>
      <c r="M64" s="2" t="str">
        <f>CONCATENATE(G65," ",F65," ",H65)</f>
        <v xml:space="preserve">  </v>
      </c>
      <c r="N64" s="2"/>
      <c r="O64" s="2"/>
      <c r="Q64" t="str">
        <f>IF(Call_Center_Data[[#This Row],[Column11]]&gt;=20," great", " bad")</f>
        <v xml:space="preserve"> bad</v>
      </c>
      <c r="R64" t="str">
        <f>IF(AND(Call_Center_Data[[#This Row],[Column11]]&gt;=30,Call_Center_Data[[#This Row],[if]]=" great"),"in","out")</f>
        <v>out</v>
      </c>
      <c r="S64" t="str">
        <f>IF(OR(Call_Center_Data[[#This Row],[if]]="great",Call_Center_Data[[#This Row],[and]]="in"),"pass","fail")</f>
        <v>fail</v>
      </c>
      <c r="T64">
        <f t="shared" si="5"/>
        <v>363</v>
      </c>
      <c r="U64">
        <f>SUMIF(Call_Center_Data[[#Headers],[Column11]],Q65="great")</f>
        <v>0</v>
      </c>
      <c r="V64" s="2"/>
    </row>
    <row r="65" spans="1:22" x14ac:dyDescent="0.3">
      <c r="A65" s="2"/>
      <c r="B65" s="2"/>
      <c r="C65" s="2"/>
      <c r="F65" s="2"/>
      <c r="G65" s="2"/>
      <c r="H65" s="2"/>
      <c r="I65" s="2"/>
      <c r="J65" s="2" t="str">
        <f t="shared" si="3"/>
        <v/>
      </c>
      <c r="K65" s="2" t="str">
        <f t="shared" si="4"/>
        <v/>
      </c>
      <c r="L65" s="2" t="str">
        <f>LOWER(Call_Center_Data[[#This Row],[Column8]])</f>
        <v/>
      </c>
      <c r="M65" s="2" t="str">
        <f>CONCATENATE(G66," ",F66," ",H66)</f>
        <v xml:space="preserve">  </v>
      </c>
      <c r="N65" s="2"/>
      <c r="O65" s="2"/>
      <c r="Q65" t="str">
        <f>IF(Call_Center_Data[[#This Row],[Column11]]&gt;=20," great", " bad")</f>
        <v xml:space="preserve"> bad</v>
      </c>
      <c r="R65" t="str">
        <f>IF(AND(Call_Center_Data[[#This Row],[Column11]]&gt;=30,Call_Center_Data[[#This Row],[if]]=" great"),"in","out")</f>
        <v>out</v>
      </c>
      <c r="S65" t="str">
        <f>IF(OR(Call_Center_Data[[#This Row],[if]]="great",Call_Center_Data[[#This Row],[and]]="in"),"pass","fail")</f>
        <v>fail</v>
      </c>
      <c r="T65">
        <f t="shared" si="5"/>
        <v>363</v>
      </c>
      <c r="U65">
        <f>SUMIF(Call_Center_Data[[#Headers],[Column11]],Q66="great")</f>
        <v>0</v>
      </c>
      <c r="V65" s="2"/>
    </row>
    <row r="66" spans="1:22" x14ac:dyDescent="0.3">
      <c r="A66" s="2"/>
      <c r="B66" s="2"/>
      <c r="C66" s="2"/>
      <c r="F66" s="2"/>
      <c r="G66" s="2"/>
      <c r="H66" s="2"/>
      <c r="I66" s="2"/>
      <c r="J66" s="2" t="str">
        <f t="shared" ref="J66:J97" si="6">PROPER(H70)</f>
        <v/>
      </c>
      <c r="K66" s="2" t="str">
        <f t="shared" ref="K66:K75" si="7">UPPER(H67)</f>
        <v/>
      </c>
      <c r="L66" s="2" t="str">
        <f>LOWER(Call_Center_Data[[#This Row],[Column8]])</f>
        <v/>
      </c>
      <c r="M66" s="2" t="str">
        <f>CONCATENATE(G67," ",F67," ",H67)</f>
        <v xml:space="preserve">  </v>
      </c>
      <c r="N66" s="2"/>
      <c r="O66" s="2"/>
      <c r="Q66" t="str">
        <f>IF(Call_Center_Data[[#This Row],[Column11]]&gt;=20," great", " bad")</f>
        <v xml:space="preserve"> bad</v>
      </c>
      <c r="R66" t="str">
        <f>IF(AND(Call_Center_Data[[#This Row],[Column11]]&gt;=30,Call_Center_Data[[#This Row],[if]]=" great"),"in","out")</f>
        <v>out</v>
      </c>
      <c r="S66" t="str">
        <f>IF(OR(Call_Center_Data[[#This Row],[if]]="great",Call_Center_Data[[#This Row],[and]]="in"),"pass","fail")</f>
        <v>fail</v>
      </c>
      <c r="T66">
        <f t="shared" ref="T66:T97" si="8">SUMIF(S:S,"pass",P:P)</f>
        <v>363</v>
      </c>
      <c r="U66">
        <f>SUMIF(Call_Center_Data[[#Headers],[Column11]],Q67="great")</f>
        <v>0</v>
      </c>
      <c r="V66" s="2"/>
    </row>
    <row r="67" spans="1:22" x14ac:dyDescent="0.3">
      <c r="A67" s="2"/>
      <c r="B67" s="2"/>
      <c r="C67" s="2"/>
      <c r="F67" s="2"/>
      <c r="G67" s="2"/>
      <c r="H67" s="2"/>
      <c r="I67" s="2"/>
      <c r="J67" s="2" t="str">
        <f t="shared" si="6"/>
        <v/>
      </c>
      <c r="K67" s="2" t="str">
        <f t="shared" si="7"/>
        <v/>
      </c>
      <c r="L67" s="2" t="str">
        <f>LOWER(Call_Center_Data[[#This Row],[Column8]])</f>
        <v/>
      </c>
      <c r="M67" s="2" t="str">
        <f>CONCATENATE(G68," ",F68," ",H68)</f>
        <v xml:space="preserve">  </v>
      </c>
      <c r="N67" s="2"/>
      <c r="O67" s="2"/>
      <c r="Q67" t="str">
        <f>IF(Call_Center_Data[[#This Row],[Column11]]&gt;=20," great", " bad")</f>
        <v xml:space="preserve"> bad</v>
      </c>
      <c r="R67" t="str">
        <f>IF(AND(Call_Center_Data[[#This Row],[Column11]]&gt;=30,Call_Center_Data[[#This Row],[if]]=" great"),"in","out")</f>
        <v>out</v>
      </c>
      <c r="S67" t="str">
        <f>IF(OR(Call_Center_Data[[#This Row],[if]]="great",Call_Center_Data[[#This Row],[and]]="in"),"pass","fail")</f>
        <v>fail</v>
      </c>
      <c r="T67">
        <f t="shared" si="8"/>
        <v>363</v>
      </c>
      <c r="U67">
        <f>SUMIF(Call_Center_Data[[#Headers],[Column11]],Q68="great")</f>
        <v>0</v>
      </c>
      <c r="V67" s="2"/>
    </row>
    <row r="68" spans="1:22" x14ac:dyDescent="0.3">
      <c r="A68" s="2"/>
      <c r="B68" s="2"/>
      <c r="C68" s="2"/>
      <c r="F68" s="2"/>
      <c r="G68" s="2"/>
      <c r="H68" s="2"/>
      <c r="I68" s="2"/>
      <c r="J68" s="2" t="str">
        <f t="shared" si="6"/>
        <v/>
      </c>
      <c r="K68" s="2" t="str">
        <f t="shared" si="7"/>
        <v/>
      </c>
      <c r="L68" s="2" t="str">
        <f>LOWER(Call_Center_Data[[#This Row],[Column8]])</f>
        <v/>
      </c>
      <c r="M68" s="2" t="str">
        <f>CONCATENATE(G69," ",F69," ",H69)</f>
        <v xml:space="preserve">  </v>
      </c>
      <c r="N68" s="2"/>
      <c r="O68" s="2"/>
      <c r="Q68" t="str">
        <f>IF(Call_Center_Data[[#This Row],[Column11]]&gt;=20," great", " bad")</f>
        <v xml:space="preserve"> bad</v>
      </c>
      <c r="R68" t="str">
        <f>IF(AND(Call_Center_Data[[#This Row],[Column11]]&gt;=30,Call_Center_Data[[#This Row],[if]]=" great"),"in","out")</f>
        <v>out</v>
      </c>
      <c r="S68" t="str">
        <f>IF(OR(Call_Center_Data[[#This Row],[if]]="great",Call_Center_Data[[#This Row],[and]]="in"),"pass","fail")</f>
        <v>fail</v>
      </c>
      <c r="T68">
        <f t="shared" si="8"/>
        <v>363</v>
      </c>
      <c r="U68">
        <f>SUMIF(Call_Center_Data[[#Headers],[Column11]],Q69="great")</f>
        <v>0</v>
      </c>
      <c r="V68" s="2"/>
    </row>
    <row r="69" spans="1:22" x14ac:dyDescent="0.3">
      <c r="A69" s="2"/>
      <c r="B69" s="2"/>
      <c r="C69" s="2"/>
      <c r="F69" s="2"/>
      <c r="G69" s="2"/>
      <c r="H69" s="2"/>
      <c r="I69" s="2"/>
      <c r="J69" s="2" t="str">
        <f t="shared" si="6"/>
        <v/>
      </c>
      <c r="K69" s="2" t="str">
        <f t="shared" si="7"/>
        <v/>
      </c>
      <c r="L69" s="2" t="str">
        <f>LOWER(Call_Center_Data[[#This Row],[Column8]])</f>
        <v/>
      </c>
      <c r="M69" s="2" t="str">
        <f>CONCATENATE(G70," ",F70," ",H70)</f>
        <v xml:space="preserve">  </v>
      </c>
      <c r="N69" s="2"/>
      <c r="O69" s="2"/>
      <c r="Q69" t="str">
        <f>IF(Call_Center_Data[[#This Row],[Column11]]&gt;=20," great", " bad")</f>
        <v xml:space="preserve"> bad</v>
      </c>
      <c r="R69" t="str">
        <f>IF(AND(Call_Center_Data[[#This Row],[Column11]]&gt;=30,Call_Center_Data[[#This Row],[if]]=" great"),"in","out")</f>
        <v>out</v>
      </c>
      <c r="S69" t="str">
        <f>IF(OR(Call_Center_Data[[#This Row],[if]]="great",Call_Center_Data[[#This Row],[and]]="in"),"pass","fail")</f>
        <v>fail</v>
      </c>
      <c r="T69">
        <f t="shared" si="8"/>
        <v>363</v>
      </c>
      <c r="U69">
        <f>SUMIF(Call_Center_Data[[#Headers],[Column11]],Q70="great")</f>
        <v>0</v>
      </c>
      <c r="V69" s="2"/>
    </row>
    <row r="70" spans="1:22" x14ac:dyDescent="0.3">
      <c r="A70" s="2"/>
      <c r="B70" s="2"/>
      <c r="C70" s="2"/>
      <c r="F70" s="2"/>
      <c r="G70" s="2"/>
      <c r="H70" s="2"/>
      <c r="I70" s="2"/>
      <c r="J70" s="2" t="str">
        <f t="shared" si="6"/>
        <v/>
      </c>
      <c r="K70" s="2" t="str">
        <f t="shared" si="7"/>
        <v/>
      </c>
      <c r="L70" s="2" t="str">
        <f>LOWER(Call_Center_Data[[#This Row],[Column8]])</f>
        <v/>
      </c>
      <c r="M70" s="2" t="str">
        <f>CONCATENATE(G71," ",F71," ",H71)</f>
        <v xml:space="preserve">  </v>
      </c>
      <c r="N70" s="2"/>
      <c r="O70" s="2"/>
      <c r="Q70" t="str">
        <f>IF(Call_Center_Data[[#This Row],[Column11]]&gt;=20," great", " bad")</f>
        <v xml:space="preserve"> bad</v>
      </c>
      <c r="R70" t="str">
        <f>IF(AND(Call_Center_Data[[#This Row],[Column11]]&gt;=30,Call_Center_Data[[#This Row],[if]]=" great"),"in","out")</f>
        <v>out</v>
      </c>
      <c r="S70" t="str">
        <f>IF(OR(Call_Center_Data[[#This Row],[if]]="great",Call_Center_Data[[#This Row],[and]]="in"),"pass","fail")</f>
        <v>fail</v>
      </c>
      <c r="T70">
        <f t="shared" si="8"/>
        <v>363</v>
      </c>
      <c r="U70">
        <f>SUMIF(Call_Center_Data[[#Headers],[Column11]],Q71="great")</f>
        <v>0</v>
      </c>
      <c r="V70" s="2"/>
    </row>
    <row r="71" spans="1:22" x14ac:dyDescent="0.3">
      <c r="A71" s="2"/>
      <c r="B71" s="2"/>
      <c r="C71" s="2"/>
      <c r="F71" s="2"/>
      <c r="G71" s="2"/>
      <c r="H71" s="2"/>
      <c r="I71" s="2"/>
      <c r="J71" s="2" t="str">
        <f t="shared" si="6"/>
        <v/>
      </c>
      <c r="K71" s="2" t="str">
        <f t="shared" si="7"/>
        <v/>
      </c>
      <c r="L71" s="2" t="str">
        <f>LOWER(Call_Center_Data[[#This Row],[Column8]])</f>
        <v/>
      </c>
      <c r="M71" s="2" t="str">
        <f>CONCATENATE(G72," ",F72," ",H72)</f>
        <v xml:space="preserve">  </v>
      </c>
      <c r="N71" s="2"/>
      <c r="O71" s="2"/>
      <c r="Q71" t="str">
        <f>IF(Call_Center_Data[[#This Row],[Column11]]&gt;=20," great", " bad")</f>
        <v xml:space="preserve"> bad</v>
      </c>
      <c r="R71" t="str">
        <f>IF(AND(Call_Center_Data[[#This Row],[Column11]]&gt;=30,Call_Center_Data[[#This Row],[if]]=" great"),"in","out")</f>
        <v>out</v>
      </c>
      <c r="S71" t="str">
        <f>IF(OR(Call_Center_Data[[#This Row],[if]]="great",Call_Center_Data[[#This Row],[and]]="in"),"pass","fail")</f>
        <v>fail</v>
      </c>
      <c r="T71">
        <f t="shared" si="8"/>
        <v>363</v>
      </c>
      <c r="U71">
        <f>SUMIF(Call_Center_Data[[#Headers],[Column11]],Q72="great")</f>
        <v>0</v>
      </c>
      <c r="V71" s="2"/>
    </row>
    <row r="72" spans="1:22" x14ac:dyDescent="0.3">
      <c r="A72" s="2"/>
      <c r="B72" s="2"/>
      <c r="C72" s="2"/>
      <c r="F72" s="2"/>
      <c r="G72" s="2"/>
      <c r="H72" s="2"/>
      <c r="I72" s="2"/>
      <c r="J72" s="2" t="str">
        <f t="shared" si="6"/>
        <v/>
      </c>
      <c r="K72" s="2" t="str">
        <f t="shared" si="7"/>
        <v/>
      </c>
      <c r="L72" s="2" t="str">
        <f>LOWER(Call_Center_Data[[#This Row],[Column8]])</f>
        <v/>
      </c>
      <c r="M72" s="2" t="str">
        <f>CONCATENATE(G73," ",F73," ",H73)</f>
        <v xml:space="preserve">  </v>
      </c>
      <c r="N72" s="2"/>
      <c r="O72" s="2"/>
      <c r="Q72" t="str">
        <f>IF(Call_Center_Data[[#This Row],[Column11]]&gt;=20," great", " bad")</f>
        <v xml:space="preserve"> bad</v>
      </c>
      <c r="R72" t="str">
        <f>IF(AND(Call_Center_Data[[#This Row],[Column11]]&gt;=30,Call_Center_Data[[#This Row],[if]]=" great"),"in","out")</f>
        <v>out</v>
      </c>
      <c r="S72" t="str">
        <f>IF(OR(Call_Center_Data[[#This Row],[if]]="great",Call_Center_Data[[#This Row],[and]]="in"),"pass","fail")</f>
        <v>fail</v>
      </c>
      <c r="T72">
        <f t="shared" si="8"/>
        <v>363</v>
      </c>
      <c r="U72">
        <f>SUMIF(Call_Center_Data[[#Headers],[Column11]],Q73="great")</f>
        <v>0</v>
      </c>
      <c r="V72" s="2"/>
    </row>
    <row r="73" spans="1:22" x14ac:dyDescent="0.3">
      <c r="A73" s="2"/>
      <c r="B73" s="2"/>
      <c r="C73" s="2"/>
      <c r="F73" s="2"/>
      <c r="G73" s="2"/>
      <c r="H73" s="2"/>
      <c r="I73" s="2"/>
      <c r="J73" s="2" t="str">
        <f t="shared" si="6"/>
        <v/>
      </c>
      <c r="K73" s="2" t="str">
        <f t="shared" si="7"/>
        <v/>
      </c>
      <c r="L73" s="2" t="str">
        <f>LOWER(Call_Center_Data[[#This Row],[Column8]])</f>
        <v/>
      </c>
      <c r="M73" s="2" t="str">
        <f>CONCATENATE(G74," ",F74," ",H74)</f>
        <v xml:space="preserve">  </v>
      </c>
      <c r="N73" s="2"/>
      <c r="O73" s="2"/>
      <c r="Q73" t="str">
        <f>IF(Call_Center_Data[[#This Row],[Column11]]&gt;=20," great", " bad")</f>
        <v xml:space="preserve"> bad</v>
      </c>
      <c r="R73" t="str">
        <f>IF(AND(Call_Center_Data[[#This Row],[Column11]]&gt;=30,Call_Center_Data[[#This Row],[if]]=" great"),"in","out")</f>
        <v>out</v>
      </c>
      <c r="S73" t="str">
        <f>IF(OR(Call_Center_Data[[#This Row],[if]]="great",Call_Center_Data[[#This Row],[and]]="in"),"pass","fail")</f>
        <v>fail</v>
      </c>
      <c r="T73">
        <f t="shared" si="8"/>
        <v>363</v>
      </c>
      <c r="U73">
        <f>SUMIF(Call_Center_Data[[#Headers],[Column11]],Q74="great")</f>
        <v>0</v>
      </c>
      <c r="V73" s="2"/>
    </row>
    <row r="74" spans="1:22" x14ac:dyDescent="0.3">
      <c r="A74" s="2"/>
      <c r="B74" s="2"/>
      <c r="C74" s="2"/>
      <c r="F74" s="2"/>
      <c r="G74" s="2"/>
      <c r="H74" s="2"/>
      <c r="I74" s="2"/>
      <c r="J74" s="2" t="str">
        <f t="shared" si="6"/>
        <v/>
      </c>
      <c r="K74" s="2" t="str">
        <f t="shared" si="7"/>
        <v/>
      </c>
      <c r="L74" s="2" t="str">
        <f>LOWER(Call_Center_Data[[#This Row],[Column8]])</f>
        <v/>
      </c>
      <c r="M74" s="2" t="str">
        <f>CONCATENATE(G75," ",F75," ",H75)</f>
        <v xml:space="preserve">  </v>
      </c>
      <c r="N74" s="2"/>
      <c r="O74" s="2"/>
      <c r="Q74" t="str">
        <f>IF(Call_Center_Data[[#This Row],[Column11]]&gt;=20," great", " bad")</f>
        <v xml:space="preserve"> bad</v>
      </c>
      <c r="R74" t="str">
        <f>IF(AND(Call_Center_Data[[#This Row],[Column11]]&gt;=30,Call_Center_Data[[#This Row],[if]]=" great"),"in","out")</f>
        <v>out</v>
      </c>
      <c r="S74" t="str">
        <f>IF(OR(Call_Center_Data[[#This Row],[if]]="great",Call_Center_Data[[#This Row],[and]]="in"),"pass","fail")</f>
        <v>fail</v>
      </c>
      <c r="T74">
        <f t="shared" si="8"/>
        <v>363</v>
      </c>
      <c r="U74">
        <f>SUMIF(Call_Center_Data[[#Headers],[Column11]],Q75="great")</f>
        <v>0</v>
      </c>
      <c r="V74" s="2"/>
    </row>
    <row r="75" spans="1:22" x14ac:dyDescent="0.3">
      <c r="A75" s="2"/>
      <c r="B75" s="2"/>
      <c r="C75" s="2"/>
      <c r="F75" s="2"/>
      <c r="G75" s="2"/>
      <c r="H75" s="2"/>
      <c r="I75" s="2"/>
      <c r="J75" s="2" t="str">
        <f t="shared" si="6"/>
        <v/>
      </c>
      <c r="K75" s="2" t="str">
        <f t="shared" si="7"/>
        <v/>
      </c>
      <c r="L75" s="2" t="str">
        <f>LOWER(Call_Center_Data[[#This Row],[Column8]])</f>
        <v/>
      </c>
      <c r="M75" s="2" t="str">
        <f>CONCATENATE(G76," ",F76," ",H76)</f>
        <v xml:space="preserve">  </v>
      </c>
      <c r="N75" s="2"/>
      <c r="O75" s="2"/>
      <c r="Q75" t="str">
        <f>IF(Call_Center_Data[[#This Row],[Column11]]&gt;=20," great", " bad")</f>
        <v xml:space="preserve"> bad</v>
      </c>
      <c r="R75" t="str">
        <f>IF(AND(Call_Center_Data[[#This Row],[Column11]]&gt;=30,Call_Center_Data[[#This Row],[if]]=" great"),"in","out")</f>
        <v>out</v>
      </c>
      <c r="S75" t="str">
        <f>IF(OR(Call_Center_Data[[#This Row],[if]]="great",Call_Center_Data[[#This Row],[and]]="in"),"pass","fail")</f>
        <v>fail</v>
      </c>
      <c r="T75">
        <f t="shared" si="8"/>
        <v>363</v>
      </c>
      <c r="U75">
        <f>SUMIF(Call_Center_Data[[#Headers],[Column11]],Q76="great")</f>
        <v>0</v>
      </c>
      <c r="V75" s="2"/>
    </row>
    <row r="76" spans="1:22" x14ac:dyDescent="0.3">
      <c r="A76" s="1" t="s">
        <v>167</v>
      </c>
      <c r="B76" t="str">
        <f>TRIM(A76)</f>
        <v>Early Andrassy</v>
      </c>
    </row>
    <row r="77" spans="1:22" x14ac:dyDescent="0.3">
      <c r="A77" s="1" t="s">
        <v>170</v>
      </c>
      <c r="B77" t="str">
        <f t="shared" ref="B77:B82" si="9">TRIM(A77)</f>
        <v>Ettie Ruoff</v>
      </c>
    </row>
    <row r="78" spans="1:22" x14ac:dyDescent="0.3">
      <c r="A78" s="1" t="s">
        <v>205</v>
      </c>
      <c r="B78" t="str">
        <f t="shared" si="9"/>
        <v>Bogey McReath</v>
      </c>
    </row>
    <row r="79" spans="1:22" x14ac:dyDescent="0.3">
      <c r="A79" s="1" t="s">
        <v>206</v>
      </c>
      <c r="B79" t="str">
        <f t="shared" si="9"/>
        <v>Sephira Phil ippart</v>
      </c>
    </row>
    <row r="80" spans="1:22" x14ac:dyDescent="0.3">
      <c r="A80" s="1" t="s">
        <v>178</v>
      </c>
      <c r="B80" t="str">
        <f t="shared" si="9"/>
        <v>Abigale Morgan</v>
      </c>
    </row>
    <row r="81" spans="1:13" x14ac:dyDescent="0.3">
      <c r="A81" s="1" t="s">
        <v>207</v>
      </c>
      <c r="B81" t="str">
        <f t="shared" si="9"/>
        <v>Minette Muzzillo</v>
      </c>
    </row>
    <row r="82" spans="1:13" x14ac:dyDescent="0.3">
      <c r="A82" s="1" t="s">
        <v>208</v>
      </c>
      <c r="B82" t="str">
        <f t="shared" si="9"/>
        <v>Tricia Kinnie</v>
      </c>
      <c r="M82" s="3">
        <f ca="1">TODAY()</f>
        <v>46140</v>
      </c>
    </row>
    <row r="83" spans="1:13" x14ac:dyDescent="0.3">
      <c r="A83" s="1" t="s">
        <v>185</v>
      </c>
      <c r="B83" t="str">
        <f>TRIM(A83)</f>
        <v>Charo Aisbett</v>
      </c>
      <c r="M83" s="3" t="e" cm="1">
        <f t="array" aca="1" ref="M83" ca="1">M82()</f>
        <v>#REF!</v>
      </c>
    </row>
    <row r="84" spans="1:13" x14ac:dyDescent="0.3">
      <c r="M84">
        <f ca="1">MONTH(M82)</f>
        <v>4</v>
      </c>
    </row>
  </sheetData>
  <phoneticPr fontId="1" type="noConversion"/>
  <conditionalFormatting sqref="D115:D1048576">
    <cfRule type="top10" dxfId="1" priority="5" rank="10"/>
  </conditionalFormatting>
  <conditionalFormatting sqref="P115:T104857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{79F47390-09C7-4602-88C2-A58D5173CCC0}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544723B1-B7EC-4082-AA8D-DF00C8AFC42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14:cfRule type="dataBar" id="{79F47390-09C7-4602-88C2-A58D5173CC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P115:T1048576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D036-1722-45D8-A458-EDCE22CB437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F41A41-28B9-4C53-80CC-E41F72E0DE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Management Data</vt:lpstr>
      <vt:lpstr>Call Center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Kanti Majumder</dc:creator>
  <cp:lastModifiedBy>Tushar Kanti Majumder</cp:lastModifiedBy>
  <dcterms:created xsi:type="dcterms:W3CDTF">2026-04-02T12:46:06Z</dcterms:created>
  <dcterms:modified xsi:type="dcterms:W3CDTF">2026-04-27T19:42:11Z</dcterms:modified>
</cp:coreProperties>
</file>